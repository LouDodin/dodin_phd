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t" sheetId="1" r:id="rId5"/>
    <sheet state="visible" name="Virus" sheetId="2" r:id="rId6"/>
    <sheet state="visible" name="Test 20 26 no virus Videodrop" sheetId="3" r:id="rId7"/>
    <sheet state="visible" name="Boxplot ratio Videodrop" sheetId="4" r:id="rId8"/>
    <sheet state="visible" name="Boxplot ratio DNA" sheetId="5" r:id="rId9"/>
    <sheet state="visible" name="Boxplot number of particles V2" sheetId="6" r:id="rId10"/>
    <sheet state="visible" name="Boxplot number of particles V1" sheetId="7" r:id="rId11"/>
    <sheet state="visible" name="Boxplot median diameter V2" sheetId="8" r:id="rId12"/>
    <sheet state="visible" name="Boxplot median diameter V1" sheetId="9" r:id="rId13"/>
    <sheet state="visible" name="Size" sheetId="10" r:id="rId14"/>
    <sheet state="visible" name="Boxplot decay 20 vs 26" sheetId="11" r:id="rId15"/>
    <sheet state="visible" name="Cyto 1 vs Cyto 2" sheetId="12" r:id="rId16"/>
    <sheet state="visible" name="Feuille 5" sheetId="13" r:id="rId17"/>
    <sheet state="visible" name="Compare cyto videodrop" sheetId="14" r:id="rId18"/>
  </sheets>
  <definedNames/>
  <calcPr/>
</workbook>
</file>

<file path=xl/sharedStrings.xml><?xml version="1.0" encoding="utf-8"?>
<sst xmlns="http://schemas.openxmlformats.org/spreadsheetml/2006/main" count="319" uniqueCount="93">
  <si>
    <t>Coevolution</t>
  </si>
  <si>
    <t>Host evolution</t>
  </si>
  <si>
    <t>A</t>
  </si>
  <si>
    <t>B</t>
  </si>
  <si>
    <t>C</t>
  </si>
  <si>
    <t>g1</t>
  </si>
  <si>
    <t>Cytometry (cells/mL)</t>
  </si>
  <si>
    <t>g6</t>
  </si>
  <si>
    <t>Volume (μL)</t>
  </si>
  <si>
    <t>Qubit (ng/μL)</t>
  </si>
  <si>
    <t>&gt;120</t>
  </si>
  <si>
    <t>Remarque</t>
  </si>
  <si>
    <t>Pb annot tube Lucien : même date que 26 g2</t>
  </si>
  <si>
    <t>g2</t>
  </si>
  <si>
    <t>g7</t>
  </si>
  <si>
    <t>Pb annot tube : peut-être échange avec 20C g2</t>
  </si>
  <si>
    <t>Perte culots lors extraction</t>
  </si>
  <si>
    <t>g3</t>
  </si>
  <si>
    <t>g4</t>
  </si>
  <si>
    <t>g5</t>
  </si>
  <si>
    <t>Virus evolution</t>
  </si>
  <si>
    <t>Cytometry (parts/mL)</t>
  </si>
  <si>
    <t>Videodrop avant (parts/mL)</t>
  </si>
  <si>
    <t>Videodrop avant/cyto (%)</t>
  </si>
  <si>
    <t>Nouveau cyto</t>
  </si>
  <si>
    <t>nouveau cyto/cyto</t>
  </si>
  <si>
    <t>decay (d-1)</t>
  </si>
  <si>
    <t>Videodrop après (parts/mL)</t>
  </si>
  <si>
    <t>Videodrop après/cyto (%)</t>
  </si>
  <si>
    <t>Videodrop après/avant (%)</t>
  </si>
  <si>
    <t>Masse ADN (ng)</t>
  </si>
  <si>
    <r>
      <rPr>
        <rFont val="Arial"/>
        <color theme="1"/>
      </rPr>
      <t xml:space="preserve">ADN/cyto
(1E-9 </t>
    </r>
    <r>
      <rPr>
        <rFont val="Arial"/>
        <color rgb="FF000000"/>
      </rPr>
      <t>ng.mL/parts)</t>
    </r>
  </si>
  <si>
    <r>
      <rPr>
        <rFont val="Arial"/>
        <color theme="1"/>
      </rPr>
      <t xml:space="preserve">ADN/cyto
(1E-9 </t>
    </r>
    <r>
      <rPr>
        <rFont val="Arial"/>
        <color rgb="FF000000"/>
      </rPr>
      <t>ng.mL/parts)</t>
    </r>
  </si>
  <si>
    <t>ADN/Videodrop avant
(1E-9 ng.mL/parts)</t>
  </si>
  <si>
    <t xml:space="preserve">vv                                     </t>
  </si>
  <si>
    <r>
      <rPr>
        <rFont val="Arial"/>
        <color theme="1"/>
      </rPr>
      <t xml:space="preserve">ADN/Videodrop après
(1E-9 </t>
    </r>
    <r>
      <rPr>
        <rFont val="Arial"/>
        <color rgb="FF000000"/>
      </rPr>
      <t>ng.mL/parts)</t>
    </r>
  </si>
  <si>
    <r>
      <rPr>
        <rFont val="Arial"/>
        <color theme="1"/>
      </rPr>
      <t xml:space="preserve">ADN/Videodrop après
(1E-9 </t>
    </r>
    <r>
      <rPr>
        <rFont val="Arial"/>
        <color rgb="FF000000"/>
      </rPr>
      <t>ng.mL/parts)</t>
    </r>
  </si>
  <si>
    <t>Videodrop après D=14 (bien)</t>
  </si>
  <si>
    <t>Videodrop après D=491 (trop dilué)</t>
  </si>
  <si>
    <r>
      <rPr>
        <rFont val="Arial"/>
        <color theme="1"/>
      </rPr>
      <t xml:space="preserve">ADN/cyto
(1E-9 </t>
    </r>
    <r>
      <rPr>
        <rFont val="Arial"/>
        <color rgb="FF000000"/>
      </rPr>
      <t>ng.mL/parts)</t>
    </r>
  </si>
  <si>
    <r>
      <rPr>
        <rFont val="Arial"/>
        <color theme="1"/>
      </rPr>
      <t xml:space="preserve">ADN/cyto
(1E-9 </t>
    </r>
    <r>
      <rPr>
        <rFont val="Arial"/>
        <color rgb="FF000000"/>
      </rPr>
      <t>ng.mL/parts)</t>
    </r>
  </si>
  <si>
    <r>
      <rPr>
        <rFont val="Arial"/>
        <color theme="1"/>
      </rPr>
      <t xml:space="preserve">ADN/Videodrop après
(1E-9 </t>
    </r>
    <r>
      <rPr>
        <rFont val="Arial"/>
        <color rgb="FF000000"/>
      </rPr>
      <t>ng.mL/parts)</t>
    </r>
  </si>
  <si>
    <r>
      <rPr>
        <rFont val="Arial"/>
        <color theme="1"/>
      </rPr>
      <t xml:space="preserve">ADN/Videodrop après
(1E-9 </t>
    </r>
    <r>
      <rPr>
        <rFont val="Arial"/>
        <color rgb="FF000000"/>
      </rPr>
      <t>ng.mL/parts)</t>
    </r>
  </si>
  <si>
    <t>Contaminé par 20A g2</t>
  </si>
  <si>
    <t>Double CTAB -&gt; 2 tubes jusque AcNHI4</t>
  </si>
  <si>
    <r>
      <rPr>
        <rFont val="Arial"/>
        <color theme="1"/>
      </rPr>
      <t xml:space="preserve">ADN/cyto
(1E-9 </t>
    </r>
    <r>
      <rPr>
        <rFont val="Arial"/>
        <color rgb="FF000000"/>
      </rPr>
      <t>ng.mL/parts)</t>
    </r>
  </si>
  <si>
    <r>
      <rPr>
        <rFont val="Arial"/>
        <color theme="1"/>
      </rPr>
      <t xml:space="preserve">ADN/cyto
(1E-9 </t>
    </r>
    <r>
      <rPr>
        <rFont val="Arial"/>
        <color rgb="FF000000"/>
      </rPr>
      <t>ng.mL/parts)</t>
    </r>
  </si>
  <si>
    <r>
      <rPr>
        <rFont val="Arial"/>
        <color theme="1"/>
      </rPr>
      <t xml:space="preserve">ADN/Videodrop après
(1E-9 </t>
    </r>
    <r>
      <rPr>
        <rFont val="Arial"/>
        <color rgb="FF000000"/>
      </rPr>
      <t>ng.mL/parts)</t>
    </r>
  </si>
  <si>
    <r>
      <rPr>
        <rFont val="Arial"/>
        <color theme="1"/>
      </rPr>
      <t xml:space="preserve">ADN/Videodrop après
(1E-9 </t>
    </r>
    <r>
      <rPr>
        <rFont val="Arial"/>
        <color rgb="FF000000"/>
      </rPr>
      <t>ng.mL/parts)</t>
    </r>
  </si>
  <si>
    <t>Double Glycogen ?</t>
  </si>
  <si>
    <r>
      <rPr>
        <rFont val="Arial"/>
        <color theme="1"/>
      </rPr>
      <t xml:space="preserve">ADN/cyto
(1E-9 </t>
    </r>
    <r>
      <rPr>
        <rFont val="Arial"/>
        <color rgb="FF000000"/>
      </rPr>
      <t>ng.mL/parts)</t>
    </r>
  </si>
  <si>
    <r>
      <rPr>
        <rFont val="Arial"/>
        <color theme="1"/>
      </rPr>
      <t xml:space="preserve">ADN/Videodrop après
(1E-9 </t>
    </r>
    <r>
      <rPr>
        <rFont val="Arial"/>
        <color rgb="FF000000"/>
      </rPr>
      <t>ng.mL/parts)</t>
    </r>
  </si>
  <si>
    <t>cyto/nouveau cyto</t>
  </si>
  <si>
    <r>
      <rPr>
        <rFont val="Arial"/>
        <color theme="1"/>
      </rPr>
      <t xml:space="preserve">ADN/cyto
(1E-9 </t>
    </r>
    <r>
      <rPr>
        <rFont val="Arial"/>
        <color rgb="FF000000"/>
      </rPr>
      <t>ng.mL/parts)</t>
    </r>
  </si>
  <si>
    <r>
      <rPr>
        <rFont val="Arial"/>
        <color theme="1"/>
      </rPr>
      <t xml:space="preserve">ADN/Videodrop après
(1E-9 </t>
    </r>
    <r>
      <rPr>
        <rFont val="Arial"/>
        <color rgb="FF000000"/>
      </rPr>
      <t>ng.mL/parts)</t>
    </r>
  </si>
  <si>
    <t>Mic_no_V_20 filt 1.2um</t>
  </si>
  <si>
    <t>Mic_no_V_26 filt 1.2um</t>
  </si>
  <si>
    <t>dans dossier test</t>
  </si>
  <si>
    <t>2 particules entre 200 et 300</t>
  </si>
  <si>
    <t>Pas mal de gros trucs -&gt; on va filtrer 0,45</t>
  </si>
  <si>
    <t>7 particules trackées</t>
  </si>
  <si>
    <t>plus de particules -&gt; vésicules ?</t>
  </si>
  <si>
    <t>1 particule au dessus de 400</t>
  </si>
  <si>
    <t>data15</t>
  </si>
  <si>
    <t>data20</t>
  </si>
  <si>
    <t>data26</t>
  </si>
  <si>
    <t>a</t>
  </si>
  <si>
    <t>b</t>
  </si>
  <si>
    <t>c</t>
  </si>
  <si>
    <t>moyenne</t>
  </si>
  <si>
    <t>Rouge = 26°C</t>
  </si>
  <si>
    <t>Bleu = 20°C</t>
  </si>
  <si>
    <t>Abscisse = générations</t>
  </si>
  <si>
    <t>Cyto 1</t>
  </si>
  <si>
    <t>Cyto 2</t>
  </si>
  <si>
    <t>coevo 15 C</t>
  </si>
  <si>
    <t>coevo 15 V</t>
  </si>
  <si>
    <t>coevo 20 C</t>
  </si>
  <si>
    <t>coevo 20 V</t>
  </si>
  <si>
    <t>coevo 26 C</t>
  </si>
  <si>
    <t>coevo 26 V</t>
  </si>
  <si>
    <t>virus 15 C</t>
  </si>
  <si>
    <t>virus 15 V</t>
  </si>
  <si>
    <t>virus 20 C</t>
  </si>
  <si>
    <t>virus 20 V</t>
  </si>
  <si>
    <t>virus 26 C</t>
  </si>
  <si>
    <t>virus 26 V</t>
  </si>
  <si>
    <t>cyto 15</t>
  </si>
  <si>
    <t>cyto 20</t>
  </si>
  <si>
    <t>cyto 26</t>
  </si>
  <si>
    <t>videodrop 15</t>
  </si>
  <si>
    <t>videodrop 20</t>
  </si>
  <si>
    <t>videodrop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</si>
</sst>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E+00"/>
    <numFmt numFmtId="165" formatCode="0.00000E+00"/>
    <numFmt numFmtId="166" formatCode="0.0000E+00"/>
    <numFmt numFmtId="167" formatCode="0.0E+00"/>
    <numFmt numFmtId="168" formatCode="#,##0.0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</fills>
  <borders count="3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ck">
        <color rgb="FF000000"/>
      </right>
    </border>
    <border>
      <left style="medium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left style="thin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left" readingOrder="0" vertical="center"/>
    </xf>
    <xf borderId="0" fillId="3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6" fillId="0" fontId="1" numFmtId="0" xfId="0" applyAlignment="1" applyBorder="1" applyFont="1">
      <alignment horizontal="center" readingOrder="0" vertical="center"/>
    </xf>
    <xf borderId="8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13" fillId="0" fontId="1" numFmtId="164" xfId="0" applyAlignment="1" applyBorder="1" applyFont="1" applyNumberFormat="1">
      <alignment horizontal="center" readingOrder="0" vertical="center"/>
    </xf>
    <xf borderId="2" fillId="0" fontId="1" numFmtId="164" xfId="0" applyAlignment="1" applyBorder="1" applyFont="1" applyNumberFormat="1">
      <alignment horizontal="center" readingOrder="0" vertical="center"/>
    </xf>
    <xf borderId="14" fillId="0" fontId="1" numFmtId="164" xfId="0" applyAlignment="1" applyBorder="1" applyFont="1" applyNumberFormat="1">
      <alignment horizontal="center" readingOrder="0" vertical="center"/>
    </xf>
    <xf borderId="2" fillId="4" fontId="1" numFmtId="164" xfId="0" applyAlignment="1" applyBorder="1" applyFill="1" applyFont="1" applyNumberFormat="1">
      <alignment horizontal="center" readingOrder="0" vertical="center"/>
    </xf>
    <xf borderId="3" fillId="4" fontId="1" numFmtId="164" xfId="0" applyAlignment="1" applyBorder="1" applyFont="1" applyNumberFormat="1">
      <alignment horizontal="center" readingOrder="0" vertical="center"/>
    </xf>
    <xf borderId="4" fillId="0" fontId="2" numFmtId="0" xfId="0" applyBorder="1" applyFont="1"/>
    <xf borderId="15" fillId="0" fontId="1" numFmtId="0" xfId="0" applyAlignment="1" applyBorder="1" applyFont="1">
      <alignment horizontal="center" readingOrder="0" vertical="center"/>
    </xf>
    <xf borderId="9" fillId="0" fontId="1" numFmtId="164" xfId="0" applyAlignment="1" applyBorder="1" applyFont="1" applyNumberFormat="1">
      <alignment horizontal="center" readingOrder="0" vertical="center"/>
    </xf>
    <xf borderId="10" fillId="0" fontId="1" numFmtId="164" xfId="0" applyAlignment="1" applyBorder="1" applyFont="1" applyNumberFormat="1">
      <alignment horizontal="center" readingOrder="0" vertical="center"/>
    </xf>
    <xf borderId="0" fillId="4" fontId="1" numFmtId="164" xfId="0" applyAlignment="1" applyFont="1" applyNumberFormat="1">
      <alignment horizontal="center" readingOrder="0" vertical="center"/>
    </xf>
    <xf borderId="11" fillId="4" fontId="1" numFmtId="164" xfId="0" applyAlignment="1" applyBorder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/>
    </xf>
    <xf borderId="9" fillId="0" fontId="1" numFmtId="3" xfId="0" applyAlignment="1" applyBorder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10" fillId="0" fontId="1" numFmtId="3" xfId="0" applyAlignment="1" applyBorder="1" applyFont="1" applyNumberFormat="1">
      <alignment horizontal="center" readingOrder="0"/>
    </xf>
    <xf borderId="0" fillId="4" fontId="1" numFmtId="3" xfId="0" applyAlignment="1" applyFont="1" applyNumberFormat="1">
      <alignment horizontal="center" readingOrder="0"/>
    </xf>
    <xf borderId="11" fillId="4" fontId="1" numFmtId="3" xfId="0" applyAlignment="1" applyBorder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9" fillId="0" fontId="1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10" fillId="0" fontId="1" numFmtId="164" xfId="0" applyAlignment="1" applyBorder="1" applyFont="1" applyNumberFormat="1">
      <alignment horizontal="center" readingOrder="0"/>
    </xf>
    <xf borderId="10" fillId="0" fontId="1" numFmtId="3" xfId="0" applyAlignment="1" applyBorder="1" applyFont="1" applyNumberFormat="1">
      <alignment horizontal="center" readingOrder="0" vertical="center"/>
    </xf>
    <xf borderId="0" fillId="4" fontId="1" numFmtId="3" xfId="0" applyAlignment="1" applyFont="1" applyNumberFormat="1">
      <alignment horizontal="center" readingOrder="0" vertical="center"/>
    </xf>
    <xf borderId="11" fillId="4" fontId="1" numFmtId="3" xfId="0" applyAlignment="1" applyBorder="1" applyFont="1" applyNumberFormat="1">
      <alignment horizontal="center" readingOrder="0" vertical="center"/>
    </xf>
    <xf borderId="10" fillId="0" fontId="1" numFmtId="167" xfId="0" applyAlignment="1" applyBorder="1" applyFont="1" applyNumberFormat="1">
      <alignment horizontal="center" readingOrder="0" vertical="center"/>
    </xf>
    <xf borderId="11" fillId="4" fontId="1" numFmtId="167" xfId="0" applyAlignment="1" applyBorder="1" applyFont="1" applyNumberFormat="1">
      <alignment horizontal="center" readingOrder="0" vertical="center"/>
    </xf>
    <xf borderId="9" fillId="0" fontId="1" numFmtId="3" xfId="0" applyAlignment="1" applyBorder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readingOrder="0" vertical="center"/>
    </xf>
    <xf borderId="16" fillId="0" fontId="1" numFmtId="0" xfId="0" applyAlignment="1" applyBorder="1" applyFont="1">
      <alignment horizontal="center" readingOrder="0" vertical="center"/>
    </xf>
    <xf borderId="17" fillId="5" fontId="1" numFmtId="3" xfId="0" applyAlignment="1" applyBorder="1" applyFill="1" applyFont="1" applyNumberFormat="1">
      <alignment horizontal="center" readingOrder="0" vertical="center"/>
    </xf>
    <xf borderId="18" fillId="5" fontId="1" numFmtId="3" xfId="0" applyAlignment="1" applyBorder="1" applyFont="1" applyNumberFormat="1">
      <alignment horizontal="center" readingOrder="0" vertical="center"/>
    </xf>
    <xf borderId="19" fillId="5" fontId="1" numFmtId="3" xfId="0" applyAlignment="1" applyBorder="1" applyFont="1" applyNumberFormat="1">
      <alignment horizontal="center" readingOrder="0" vertical="center"/>
    </xf>
    <xf borderId="20" fillId="5" fontId="1" numFmtId="3" xfId="0" applyAlignment="1" applyBorder="1" applyFont="1" applyNumberFormat="1">
      <alignment horizontal="center" readingOrder="0" vertical="center"/>
    </xf>
    <xf borderId="17" fillId="0" fontId="1" numFmtId="3" xfId="0" applyAlignment="1" applyBorder="1" applyFont="1" applyNumberFormat="1">
      <alignment horizontal="center" readingOrder="0" vertical="center"/>
    </xf>
    <xf borderId="18" fillId="0" fontId="1" numFmtId="3" xfId="0" applyAlignment="1" applyBorder="1" applyFont="1" applyNumberFormat="1">
      <alignment horizontal="center" readingOrder="0" vertical="center"/>
    </xf>
    <xf borderId="19" fillId="0" fontId="1" numFmtId="3" xfId="0" applyAlignment="1" applyBorder="1" applyFont="1" applyNumberFormat="1">
      <alignment horizontal="center" readingOrder="0" vertical="center"/>
    </xf>
    <xf borderId="20" fillId="0" fontId="1" numFmtId="3" xfId="0" applyAlignment="1" applyBorder="1" applyFont="1" applyNumberFormat="1">
      <alignment horizontal="center" readingOrder="0" vertical="center"/>
    </xf>
    <xf borderId="21" fillId="0" fontId="1" numFmtId="0" xfId="0" applyAlignment="1" applyBorder="1" applyFont="1">
      <alignment horizontal="center" readingOrder="0" vertical="center"/>
    </xf>
    <xf borderId="22" fillId="6" fontId="1" numFmtId="0" xfId="0" applyAlignment="1" applyBorder="1" applyFill="1" applyFont="1">
      <alignment horizontal="center" readingOrder="0" vertical="center"/>
    </xf>
    <xf borderId="23" fillId="0" fontId="1" numFmtId="0" xfId="0" applyAlignment="1" applyBorder="1" applyFont="1">
      <alignment horizontal="center" readingOrder="0" vertical="center"/>
    </xf>
    <xf borderId="24" fillId="6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center" readingOrder="0" vertical="center"/>
    </xf>
    <xf borderId="25" fillId="0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9" fillId="6" fontId="1" numFmtId="0" xfId="0" applyAlignment="1" applyBorder="1" applyFont="1">
      <alignment horizontal="center" readingOrder="0" vertical="center"/>
    </xf>
    <xf borderId="10" fillId="6" fontId="1" numFmtId="0" xfId="0" applyAlignment="1" applyBorder="1" applyFont="1">
      <alignment horizontal="center" readingOrder="0" vertical="center"/>
    </xf>
    <xf borderId="9" fillId="7" fontId="1" numFmtId="0" xfId="0" applyAlignment="1" applyBorder="1" applyFill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10" fillId="7" fontId="1" numFmtId="0" xfId="0" applyAlignment="1" applyBorder="1" applyFont="1">
      <alignment horizontal="center" readingOrder="0" vertical="center"/>
    </xf>
    <xf borderId="11" fillId="7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shrinkToFit="0" vertical="center" wrapText="1"/>
    </xf>
    <xf borderId="0" fillId="7" fontId="1" numFmtId="11" xfId="0" applyAlignment="1" applyFont="1" applyNumberFormat="1">
      <alignment horizontal="center" readingOrder="0" vertical="center"/>
    </xf>
    <xf borderId="9" fillId="7" fontId="1" numFmtId="11" xfId="0" applyAlignment="1" applyBorder="1" applyFont="1" applyNumberFormat="1">
      <alignment horizontal="center" readingOrder="0" vertical="center"/>
    </xf>
    <xf borderId="0" fillId="0" fontId="1" numFmtId="168" xfId="0" applyAlignment="1" applyFont="1" applyNumberFormat="1">
      <alignment horizontal="center"/>
    </xf>
    <xf borderId="9" fillId="6" fontId="1" numFmtId="3" xfId="0" applyAlignment="1" applyBorder="1" applyFont="1" applyNumberFormat="1">
      <alignment horizontal="center" readingOrder="0" vertical="center"/>
    </xf>
    <xf borderId="10" fillId="6" fontId="1" numFmtId="3" xfId="0" applyAlignment="1" applyBorder="1" applyFont="1" applyNumberFormat="1">
      <alignment horizontal="center" readingOrder="0" vertical="center"/>
    </xf>
    <xf borderId="11" fillId="0" fontId="1" numFmtId="3" xfId="0" applyAlignment="1" applyBorder="1" applyFont="1" applyNumberFormat="1">
      <alignment horizontal="center" readingOrder="0" vertical="center"/>
    </xf>
    <xf borderId="16" fillId="0" fontId="1" numFmtId="0" xfId="0" applyAlignment="1" applyBorder="1" applyFont="1">
      <alignment horizontal="center" readingOrder="0" shrinkToFit="0" vertical="center" wrapText="1"/>
    </xf>
    <xf borderId="17" fillId="6" fontId="1" numFmtId="3" xfId="0" applyAlignment="1" applyBorder="1" applyFont="1" applyNumberFormat="1">
      <alignment horizontal="center" readingOrder="0" vertical="center"/>
    </xf>
    <xf borderId="19" fillId="6" fontId="1" numFmtId="3" xfId="0" applyAlignment="1" applyBorder="1" applyFont="1" applyNumberFormat="1">
      <alignment horizontal="center" readingOrder="0" vertical="center"/>
    </xf>
    <xf borderId="26" fillId="0" fontId="2" numFmtId="0" xfId="0" applyBorder="1" applyFont="1"/>
    <xf borderId="27" fillId="0" fontId="1" numFmtId="0" xfId="0" applyAlignment="1" applyBorder="1" applyFont="1">
      <alignment horizontal="center" readingOrder="0" vertical="center"/>
    </xf>
    <xf borderId="28" fillId="0" fontId="1" numFmtId="0" xfId="0" applyAlignment="1" applyBorder="1" applyFont="1">
      <alignment horizontal="center" readingOrder="0" vertical="center"/>
    </xf>
    <xf borderId="29" fillId="0" fontId="2" numFmtId="0" xfId="0" applyBorder="1" applyFont="1"/>
    <xf borderId="30" fillId="0" fontId="2" numFmtId="0" xfId="0" applyBorder="1" applyFont="1"/>
    <xf borderId="29" fillId="0" fontId="1" numFmtId="0" xfId="0" applyAlignment="1" applyBorder="1" applyFont="1">
      <alignment horizontal="center" readingOrder="0" vertical="center"/>
    </xf>
    <xf borderId="31" fillId="0" fontId="2" numFmtId="0" xfId="0" applyBorder="1" applyFont="1"/>
    <xf borderId="13" fillId="2" fontId="1" numFmtId="0" xfId="0" applyAlignment="1" applyBorder="1" applyFont="1">
      <alignment horizontal="center" vertical="center"/>
    </xf>
    <xf borderId="14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4" fontId="1" numFmtId="167" xfId="0" applyAlignment="1" applyFont="1" applyNumberFormat="1">
      <alignment horizontal="center" readingOrder="0" vertical="center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2" fillId="2" fontId="1" numFmtId="0" xfId="0" applyAlignment="1" applyBorder="1" applyFont="1">
      <alignment horizontal="center" vertical="center"/>
    </xf>
    <xf borderId="23" fillId="0" fontId="2" numFmtId="0" xfId="0" applyBorder="1" applyFont="1"/>
    <xf borderId="23" fillId="6" fontId="1" numFmtId="0" xfId="0" applyAlignment="1" applyBorder="1" applyFont="1">
      <alignment horizontal="center" readingOrder="0" vertical="center"/>
    </xf>
    <xf borderId="25" fillId="6" fontId="1" numFmtId="0" xfId="0" applyAlignment="1" applyBorder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11" fillId="6" fontId="1" numFmtId="0" xfId="0" applyAlignment="1" applyBorder="1" applyFont="1">
      <alignment horizontal="center" readingOrder="0" vertical="center"/>
    </xf>
    <xf borderId="0" fillId="6" fontId="1" numFmtId="3" xfId="0" applyAlignment="1" applyFont="1" applyNumberFormat="1">
      <alignment horizontal="center" readingOrder="0" vertical="center"/>
    </xf>
    <xf borderId="11" fillId="6" fontId="1" numFmtId="3" xfId="0" applyAlignment="1" applyBorder="1" applyFont="1" applyNumberFormat="1">
      <alignment horizontal="center" readingOrder="0" vertical="center"/>
    </xf>
    <xf borderId="24" fillId="0" fontId="2" numFmtId="0" xfId="0" applyBorder="1" applyFont="1"/>
    <xf borderId="23" fillId="3" fontId="1" numFmtId="0" xfId="0" applyAlignment="1" applyBorder="1" applyFont="1">
      <alignment horizontal="left" readingOrder="0" shrinkToFit="0" vertical="center" wrapText="0"/>
    </xf>
    <xf borderId="25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4" fillId="0" fontId="1" numFmtId="0" xfId="0" applyAlignment="1" applyBorder="1" applyFont="1">
      <alignment horizontal="center" readingOrder="0" vertical="center"/>
    </xf>
    <xf borderId="36" fillId="0" fontId="2" numFmtId="0" xfId="0" applyBorder="1" applyFont="1"/>
    <xf borderId="2" fillId="2" fontId="1" numFmtId="0" xfId="0" applyAlignment="1" applyBorder="1" applyFont="1">
      <alignment horizontal="center" vertical="center"/>
    </xf>
    <xf borderId="11" fillId="0" fontId="2" numFmtId="0" xfId="0" applyBorder="1" applyFont="1"/>
    <xf borderId="20" fillId="0" fontId="2" numFmtId="0" xfId="0" applyBorder="1" applyFont="1"/>
    <xf borderId="23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0" fillId="0" fontId="1" numFmtId="167" xfId="0" applyAlignment="1" applyFont="1" applyNumberFormat="1">
      <alignment horizontal="center" readingOrder="0" vertical="center"/>
    </xf>
    <xf borderId="28" fillId="2" fontId="1" numFmtId="0" xfId="0" applyAlignment="1" applyBorder="1" applyFont="1">
      <alignment horizontal="center" vertical="center"/>
    </xf>
    <xf borderId="18" fillId="6" fontId="1" numFmtId="3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11" xfId="0" applyAlignment="1" applyFont="1" applyNumberForma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1" numFmtId="1" xfId="0" applyAlignment="1" applyFont="1" applyNumberFormat="1">
      <alignment horizontal="center" readingOrder="0"/>
    </xf>
    <xf borderId="0" fillId="0" fontId="1" numFmtId="1" xfId="0" applyAlignment="1" applyFont="1" applyNumberFormat="1">
      <alignment horizontal="center"/>
    </xf>
    <xf borderId="0" fillId="0" fontId="1" numFmtId="167" xfId="0" applyAlignment="1" applyFont="1" applyNumberFormat="1">
      <alignment readingOrder="0"/>
    </xf>
    <xf borderId="0" fillId="0" fontId="4" numFmtId="0" xfId="0" applyAlignment="1" applyFont="1">
      <alignment readingOrder="0" shrinkToFit="0" wrapText="0"/>
    </xf>
    <xf borderId="0" fillId="0" fontId="4" numFmtId="11" xfId="0" applyAlignment="1" applyFont="1" applyNumberFormat="1">
      <alignment readingOrder="0" shrinkToFit="0" wrapText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11" xfId="0" applyAlignment="1" applyFont="1" applyNumberFormat="1">
      <alignment horizontal="center" readingOrder="0" vertical="center"/>
    </xf>
    <xf borderId="0" fillId="0" fontId="1" numFmtId="1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Size!$E$3:$E$7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Size!$I$3:$I$7</c:f>
              <c:numCache/>
            </c:numRef>
          </c:val>
          <c:smooth val="0"/>
        </c:ser>
        <c:axId val="2069463111"/>
        <c:axId val="188731415"/>
      </c:lineChart>
      <c:catAx>
        <c:axId val="2069463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31415"/>
      </c:catAx>
      <c:valAx>
        <c:axId val="1887314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4631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8</xdr:row>
      <xdr:rowOff>66675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6.63"/>
    <col customWidth="1" min="3" max="11" width="7.63"/>
    <col customWidth="1" min="12" max="12" width="1.38"/>
    <col customWidth="1" min="13" max="13" width="7.63"/>
    <col customWidth="1" min="14" max="14" width="16.13"/>
    <col customWidth="1" min="15" max="23" width="7.63"/>
  </cols>
  <sheetData>
    <row r="1">
      <c r="A1" s="1" t="s">
        <v>0</v>
      </c>
      <c r="L1" s="1"/>
      <c r="M1" s="1" t="s">
        <v>1</v>
      </c>
      <c r="X1" s="2"/>
      <c r="Y1" s="2"/>
      <c r="Z1" s="2"/>
      <c r="AA1" s="2"/>
      <c r="AB1" s="2"/>
      <c r="AC1" s="2"/>
    </row>
    <row r="2">
      <c r="A2" s="2"/>
      <c r="B2" s="2"/>
      <c r="C2" s="1">
        <v>15.0</v>
      </c>
      <c r="F2" s="1">
        <v>20.0</v>
      </c>
      <c r="I2" s="1">
        <v>26.0</v>
      </c>
      <c r="L2" s="1"/>
      <c r="M2" s="1"/>
      <c r="N2" s="1"/>
      <c r="O2" s="1">
        <v>15.0</v>
      </c>
      <c r="R2" s="1">
        <v>20.0</v>
      </c>
      <c r="U2" s="1">
        <v>26.0</v>
      </c>
      <c r="X2" s="2"/>
      <c r="Y2" s="2"/>
      <c r="Z2" s="2"/>
      <c r="AA2" s="2"/>
      <c r="AB2" s="2"/>
      <c r="AC2" s="2"/>
    </row>
    <row r="3">
      <c r="A3" s="2"/>
      <c r="B3" s="2"/>
      <c r="C3" s="1" t="s">
        <v>2</v>
      </c>
      <c r="D3" s="1" t="s">
        <v>3</v>
      </c>
      <c r="E3" s="1" t="s">
        <v>4</v>
      </c>
      <c r="F3" s="1" t="s">
        <v>2</v>
      </c>
      <c r="G3" s="1" t="s">
        <v>3</v>
      </c>
      <c r="H3" s="1" t="s">
        <v>4</v>
      </c>
      <c r="I3" s="1" t="s">
        <v>2</v>
      </c>
      <c r="J3" s="1" t="s">
        <v>3</v>
      </c>
      <c r="K3" s="1" t="s">
        <v>4</v>
      </c>
      <c r="L3" s="1"/>
      <c r="M3" s="1"/>
      <c r="N3" s="1"/>
      <c r="O3" s="1" t="s">
        <v>2</v>
      </c>
      <c r="P3" s="1" t="s">
        <v>3</v>
      </c>
      <c r="Q3" s="1" t="s">
        <v>4</v>
      </c>
      <c r="R3" s="1" t="s">
        <v>2</v>
      </c>
      <c r="S3" s="1" t="s">
        <v>3</v>
      </c>
      <c r="T3" s="1" t="s">
        <v>4</v>
      </c>
      <c r="U3" s="1" t="s">
        <v>2</v>
      </c>
      <c r="V3" s="1" t="s">
        <v>3</v>
      </c>
      <c r="W3" s="1" t="s">
        <v>4</v>
      </c>
      <c r="X3" s="2"/>
      <c r="Y3" s="2"/>
      <c r="Z3" s="2"/>
      <c r="AA3" s="2"/>
      <c r="AB3" s="2"/>
      <c r="AC3" s="2"/>
    </row>
    <row r="4">
      <c r="A4" s="1" t="s">
        <v>5</v>
      </c>
      <c r="B4" s="1" t="s">
        <v>6</v>
      </c>
      <c r="C4" s="3">
        <v>3574.147947</v>
      </c>
      <c r="D4" s="3">
        <v>7473.218435</v>
      </c>
      <c r="E4" s="3">
        <v>15596.281952</v>
      </c>
      <c r="F4" s="3">
        <v>2.8784587005534E7</v>
      </c>
      <c r="G4" s="3">
        <v>4.0519573683132E7</v>
      </c>
      <c r="H4" s="3">
        <v>3.6005328960853E7</v>
      </c>
      <c r="I4" s="3">
        <v>4.9754553354633E7</v>
      </c>
      <c r="J4" s="3">
        <v>5.1659033865815E7</v>
      </c>
      <c r="K4" s="3">
        <v>5.2489518210863E7</v>
      </c>
      <c r="L4" s="2"/>
      <c r="M4" s="1" t="s">
        <v>7</v>
      </c>
      <c r="N4" s="1" t="s">
        <v>6</v>
      </c>
      <c r="O4" s="4"/>
      <c r="R4" s="3">
        <v>1.26016630434783E8</v>
      </c>
      <c r="S4" s="3">
        <v>1.03911847826087E8</v>
      </c>
      <c r="T4" s="3">
        <v>7.0161847826087E7</v>
      </c>
      <c r="U4" s="4"/>
      <c r="X4" s="2"/>
      <c r="Y4" s="2"/>
      <c r="Z4" s="2"/>
      <c r="AA4" s="2"/>
      <c r="AB4" s="2"/>
      <c r="AC4" s="2"/>
    </row>
    <row r="5">
      <c r="B5" s="1" t="s">
        <v>8</v>
      </c>
      <c r="C5" s="1">
        <v>50.0</v>
      </c>
      <c r="D5" s="1">
        <v>50.0</v>
      </c>
      <c r="E5" s="1">
        <v>50.0</v>
      </c>
      <c r="F5" s="1">
        <v>80.0</v>
      </c>
      <c r="G5" s="1">
        <v>80.0</v>
      </c>
      <c r="H5" s="1">
        <v>80.0</v>
      </c>
      <c r="I5" s="1">
        <v>80.0</v>
      </c>
      <c r="J5" s="1">
        <v>80.0</v>
      </c>
      <c r="K5" s="1">
        <v>80.0</v>
      </c>
      <c r="L5" s="2"/>
      <c r="N5" s="1" t="s">
        <v>8</v>
      </c>
      <c r="R5" s="1">
        <v>50.0</v>
      </c>
      <c r="S5" s="1">
        <v>50.0</v>
      </c>
      <c r="T5" s="1">
        <v>50.0</v>
      </c>
      <c r="X5" s="2"/>
      <c r="Y5" s="2"/>
      <c r="Z5" s="2"/>
      <c r="AA5" s="2"/>
      <c r="AB5" s="2"/>
      <c r="AC5" s="2"/>
    </row>
    <row r="6">
      <c r="B6" s="1" t="s">
        <v>9</v>
      </c>
      <c r="C6" s="1">
        <v>102.0</v>
      </c>
      <c r="D6" s="1">
        <v>67.4</v>
      </c>
      <c r="E6" s="1">
        <v>56.4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2"/>
      <c r="N6" s="1" t="s">
        <v>9</v>
      </c>
      <c r="R6" s="1" t="s">
        <v>10</v>
      </c>
      <c r="S6" s="1" t="s">
        <v>10</v>
      </c>
      <c r="T6" s="1" t="s">
        <v>10</v>
      </c>
      <c r="X6" s="2"/>
      <c r="Y6" s="2"/>
      <c r="Z6" s="2"/>
      <c r="AA6" s="2"/>
      <c r="AB6" s="2"/>
      <c r="AC6" s="2"/>
    </row>
    <row r="7">
      <c r="B7" s="1" t="s">
        <v>11</v>
      </c>
      <c r="C7" s="2"/>
      <c r="D7" s="2"/>
      <c r="E7" s="2"/>
      <c r="F7" s="2"/>
      <c r="G7" s="2"/>
      <c r="H7" s="2"/>
      <c r="I7" s="5" t="s">
        <v>12</v>
      </c>
      <c r="L7" s="2"/>
      <c r="N7" s="1" t="s">
        <v>11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1" t="s">
        <v>13</v>
      </c>
      <c r="B8" s="1" t="s">
        <v>6</v>
      </c>
      <c r="C8" s="4"/>
      <c r="F8" s="3">
        <v>5.7372643322918E7</v>
      </c>
      <c r="G8" s="3">
        <v>7.1440510800163E7</v>
      </c>
      <c r="H8" s="3">
        <v>3.8498832699362E7</v>
      </c>
      <c r="I8" s="3">
        <v>4.0149783110883E7</v>
      </c>
      <c r="J8" s="3">
        <v>3.5415866273101E7</v>
      </c>
      <c r="K8" s="3">
        <v>4.1323225102669E7</v>
      </c>
      <c r="L8" s="2"/>
      <c r="M8" s="1" t="s">
        <v>14</v>
      </c>
      <c r="N8" s="1" t="s">
        <v>6</v>
      </c>
      <c r="O8" s="3">
        <v>4006103.795507</v>
      </c>
      <c r="P8" s="3">
        <v>3571280.983734</v>
      </c>
      <c r="Q8" s="3">
        <v>3555034.8567</v>
      </c>
      <c r="R8" s="3">
        <v>7.3608334624322E7</v>
      </c>
      <c r="S8" s="3">
        <v>6.2715784275755E7</v>
      </c>
      <c r="T8" s="3">
        <v>4.6670344694036E7</v>
      </c>
      <c r="U8" s="3">
        <v>4.381665701199E7</v>
      </c>
      <c r="V8" s="3">
        <v>3.8658940455342E7</v>
      </c>
      <c r="W8" s="3">
        <v>2.9350718038529E7</v>
      </c>
      <c r="X8" s="2"/>
      <c r="Y8" s="2"/>
      <c r="Z8" s="2"/>
      <c r="AA8" s="2"/>
      <c r="AB8" s="2"/>
      <c r="AC8" s="2"/>
    </row>
    <row r="9">
      <c r="B9" s="1" t="s">
        <v>8</v>
      </c>
      <c r="F9" s="1">
        <v>80.0</v>
      </c>
      <c r="G9" s="1">
        <v>80.0</v>
      </c>
      <c r="H9" s="1">
        <v>80.0</v>
      </c>
      <c r="I9" s="1">
        <v>80.0</v>
      </c>
      <c r="J9" s="1">
        <v>80.0</v>
      </c>
      <c r="K9" s="1">
        <v>80.0</v>
      </c>
      <c r="L9" s="2"/>
      <c r="N9" s="1" t="s">
        <v>8</v>
      </c>
      <c r="O9" s="1">
        <v>50.0</v>
      </c>
      <c r="P9" s="1">
        <v>50.0</v>
      </c>
      <c r="Q9" s="1">
        <v>50.0</v>
      </c>
      <c r="R9" s="1">
        <v>50.0</v>
      </c>
      <c r="S9" s="1">
        <v>50.0</v>
      </c>
      <c r="T9" s="1">
        <v>50.0</v>
      </c>
      <c r="U9" s="1">
        <v>50.0</v>
      </c>
      <c r="V9" s="1">
        <v>50.0</v>
      </c>
      <c r="W9" s="1">
        <v>50.0</v>
      </c>
      <c r="X9" s="2"/>
      <c r="Y9" s="2"/>
      <c r="Z9" s="2"/>
      <c r="AA9" s="2"/>
      <c r="AB9" s="2"/>
      <c r="AC9" s="2"/>
    </row>
    <row r="10">
      <c r="B10" s="1" t="s">
        <v>9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2"/>
      <c r="N10" s="1" t="s">
        <v>9</v>
      </c>
      <c r="O10" s="1" t="s">
        <v>10</v>
      </c>
      <c r="P10" s="1" t="s">
        <v>10</v>
      </c>
      <c r="Q10" s="1" t="s">
        <v>10</v>
      </c>
      <c r="R10" s="1">
        <v>2.74</v>
      </c>
      <c r="S10" s="1">
        <v>0.272</v>
      </c>
      <c r="T10" s="1" t="s">
        <v>10</v>
      </c>
      <c r="U10" s="1" t="s">
        <v>10</v>
      </c>
      <c r="V10" s="1" t="s">
        <v>10</v>
      </c>
      <c r="W10" s="1" t="s">
        <v>10</v>
      </c>
      <c r="X10" s="2"/>
      <c r="Y10" s="2"/>
      <c r="Z10" s="2"/>
      <c r="AA10" s="2"/>
      <c r="AB10" s="2"/>
      <c r="AC10" s="2"/>
    </row>
    <row r="11">
      <c r="B11" s="1" t="s">
        <v>11</v>
      </c>
      <c r="F11" s="2"/>
      <c r="G11" s="6" t="s">
        <v>15</v>
      </c>
      <c r="H11" s="2"/>
      <c r="I11" s="2"/>
      <c r="J11" s="2"/>
      <c r="K11" s="2"/>
      <c r="L11" s="2"/>
      <c r="N11" s="1" t="s">
        <v>11</v>
      </c>
      <c r="O11" s="2"/>
      <c r="P11" s="2"/>
      <c r="Q11" s="2"/>
      <c r="R11" s="5" t="s">
        <v>16</v>
      </c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1" t="s">
        <v>17</v>
      </c>
      <c r="B12" s="1" t="s">
        <v>6</v>
      </c>
      <c r="F12" s="3">
        <v>3.0740227695167E7</v>
      </c>
      <c r="G12" s="3">
        <v>2.1085134758364E7</v>
      </c>
      <c r="H12" s="3">
        <v>3.6682276951673E7</v>
      </c>
      <c r="I12" s="3">
        <v>4.0799344127895E7</v>
      </c>
      <c r="J12" s="3">
        <v>4.5923344947735E7</v>
      </c>
      <c r="K12" s="3">
        <v>4.9686411149826E7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B13" s="1" t="s">
        <v>8</v>
      </c>
      <c r="F13" s="1">
        <v>80.0</v>
      </c>
      <c r="G13" s="1">
        <v>80.0</v>
      </c>
      <c r="H13" s="1">
        <v>80.0</v>
      </c>
      <c r="I13" s="1">
        <v>80.0</v>
      </c>
      <c r="J13" s="1">
        <v>80.0</v>
      </c>
      <c r="K13" s="1">
        <v>80.0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B14" s="1" t="s">
        <v>9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B15" s="1" t="s">
        <v>11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" t="s">
        <v>18</v>
      </c>
      <c r="B16" s="1" t="s">
        <v>6</v>
      </c>
      <c r="F16" s="3">
        <v>5.5405760869565E7</v>
      </c>
      <c r="G16" s="3">
        <v>6.1970869565217E7</v>
      </c>
      <c r="H16" s="3">
        <v>6.3508695652174E7</v>
      </c>
      <c r="I16" s="3">
        <v>6.3460774690939E7</v>
      </c>
      <c r="J16" s="3">
        <v>5.1546983426165E7</v>
      </c>
      <c r="K16" s="3">
        <v>6.3303895190871E7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B17" s="1" t="s">
        <v>8</v>
      </c>
      <c r="F17" s="1">
        <v>80.0</v>
      </c>
      <c r="G17" s="1">
        <v>80.0</v>
      </c>
      <c r="H17" s="1">
        <v>80.0</v>
      </c>
      <c r="I17" s="1">
        <v>80.0</v>
      </c>
      <c r="J17" s="1">
        <v>80.0</v>
      </c>
      <c r="K17" s="1">
        <v>80.0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B18" s="1" t="s">
        <v>9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B19" s="1" t="s">
        <v>11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1" t="s">
        <v>19</v>
      </c>
      <c r="B20" s="1" t="s">
        <v>6</v>
      </c>
      <c r="F20" s="3">
        <v>3.7771289697909E7</v>
      </c>
      <c r="G20" s="3">
        <v>4.5378299767622E7</v>
      </c>
      <c r="H20" s="3">
        <v>4.0320975987607E7</v>
      </c>
      <c r="I20" s="3">
        <v>3.3969730483271E7</v>
      </c>
      <c r="J20" s="3">
        <v>3.3859656133829E7</v>
      </c>
      <c r="K20" s="3">
        <v>2.8925966542751E7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B21" s="1" t="s">
        <v>8</v>
      </c>
      <c r="F21" s="1">
        <v>80.0</v>
      </c>
      <c r="G21" s="1">
        <v>80.0</v>
      </c>
      <c r="H21" s="1">
        <v>80.0</v>
      </c>
      <c r="I21" s="1">
        <v>80.0</v>
      </c>
      <c r="J21" s="1">
        <v>80.0</v>
      </c>
      <c r="K21" s="1">
        <v>80.0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B22" s="1" t="s">
        <v>9</v>
      </c>
      <c r="F22" s="1" t="s">
        <v>10</v>
      </c>
      <c r="G22" s="1" t="s">
        <v>10</v>
      </c>
      <c r="H22" s="1" t="s">
        <v>10</v>
      </c>
      <c r="I22" s="1" t="s">
        <v>10</v>
      </c>
      <c r="J22" s="1" t="s">
        <v>10</v>
      </c>
      <c r="K22" s="1" t="s">
        <v>10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B23" s="1" t="s">
        <v>11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</sheetData>
  <mergeCells count="20">
    <mergeCell ref="A1:K1"/>
    <mergeCell ref="M1:W1"/>
    <mergeCell ref="F2:H2"/>
    <mergeCell ref="I2:K2"/>
    <mergeCell ref="O2:Q2"/>
    <mergeCell ref="R2:T2"/>
    <mergeCell ref="U2:W2"/>
    <mergeCell ref="M4:M7"/>
    <mergeCell ref="M8:M11"/>
    <mergeCell ref="A8:A11"/>
    <mergeCell ref="A12:A15"/>
    <mergeCell ref="A16:A19"/>
    <mergeCell ref="A20:A23"/>
    <mergeCell ref="C2:E2"/>
    <mergeCell ref="A4:A7"/>
    <mergeCell ref="O4:Q6"/>
    <mergeCell ref="U4:W6"/>
    <mergeCell ref="I7:K7"/>
    <mergeCell ref="C8:E23"/>
    <mergeCell ref="R11:S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.0"/>
    <col customWidth="1" min="2" max="2" width="7.63"/>
    <col customWidth="1" min="3" max="3" width="22.5"/>
    <col customWidth="1" min="4" max="12" width="7.63"/>
    <col customWidth="1" min="13" max="13" width="1.5"/>
    <col customWidth="1" min="14" max="14" width="7.63"/>
    <col customWidth="1" min="15" max="15" width="22.5"/>
    <col customWidth="1" min="16" max="24" width="7.63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7"/>
      <c r="Z1" s="7"/>
      <c r="AA1" s="7"/>
    </row>
    <row r="2">
      <c r="A2" s="1"/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10"/>
      <c r="M2" s="1"/>
      <c r="N2" s="8" t="s">
        <v>20</v>
      </c>
      <c r="O2" s="9"/>
      <c r="P2" s="9"/>
      <c r="Q2" s="9"/>
      <c r="R2" s="9"/>
      <c r="S2" s="9"/>
      <c r="T2" s="9"/>
      <c r="U2" s="9"/>
      <c r="V2" s="9"/>
      <c r="W2" s="9"/>
      <c r="X2" s="10"/>
      <c r="Y2" s="7"/>
      <c r="Z2" s="7"/>
      <c r="AA2" s="7"/>
    </row>
    <row r="3">
      <c r="A3" s="2"/>
      <c r="B3" s="11"/>
      <c r="C3" s="2"/>
      <c r="D3" s="12">
        <v>15.0</v>
      </c>
      <c r="E3" s="13"/>
      <c r="F3" s="14"/>
      <c r="G3" s="15">
        <v>20.0</v>
      </c>
      <c r="H3" s="13"/>
      <c r="I3" s="14"/>
      <c r="J3" s="15">
        <v>26.0</v>
      </c>
      <c r="K3" s="13"/>
      <c r="L3" s="16"/>
      <c r="M3" s="1"/>
      <c r="N3" s="17"/>
      <c r="O3" s="1"/>
      <c r="P3" s="12">
        <v>15.0</v>
      </c>
      <c r="Q3" s="13"/>
      <c r="R3" s="13"/>
      <c r="S3" s="12">
        <v>20.0</v>
      </c>
      <c r="T3" s="13"/>
      <c r="U3" s="14"/>
      <c r="V3" s="15">
        <v>26.0</v>
      </c>
      <c r="W3" s="13"/>
      <c r="X3" s="16"/>
      <c r="Y3" s="7"/>
      <c r="Z3" s="7"/>
      <c r="AA3" s="7"/>
    </row>
    <row r="4">
      <c r="A4" s="2"/>
      <c r="B4" s="11"/>
      <c r="C4" s="2"/>
      <c r="D4" s="18" t="s">
        <v>2</v>
      </c>
      <c r="E4" s="1" t="s">
        <v>3</v>
      </c>
      <c r="F4" s="19" t="s">
        <v>4</v>
      </c>
      <c r="G4" s="1" t="s">
        <v>2</v>
      </c>
      <c r="H4" s="1" t="s">
        <v>3</v>
      </c>
      <c r="I4" s="19" t="s">
        <v>4</v>
      </c>
      <c r="J4" s="1" t="s">
        <v>2</v>
      </c>
      <c r="K4" s="1" t="s">
        <v>3</v>
      </c>
      <c r="L4" s="20" t="s">
        <v>4</v>
      </c>
      <c r="M4" s="1"/>
      <c r="N4" s="17"/>
      <c r="O4" s="1"/>
      <c r="P4" s="18" t="s">
        <v>2</v>
      </c>
      <c r="Q4" s="1" t="s">
        <v>3</v>
      </c>
      <c r="R4" s="1" t="s">
        <v>4</v>
      </c>
      <c r="S4" s="18" t="s">
        <v>2</v>
      </c>
      <c r="T4" s="1" t="s">
        <v>3</v>
      </c>
      <c r="U4" s="19" t="s">
        <v>4</v>
      </c>
      <c r="V4" s="1" t="s">
        <v>2</v>
      </c>
      <c r="W4" s="1" t="s">
        <v>3</v>
      </c>
      <c r="X4" s="20" t="s">
        <v>4</v>
      </c>
      <c r="Y4" s="7"/>
      <c r="Z4" s="7"/>
      <c r="AA4" s="7"/>
    </row>
    <row r="5">
      <c r="A5" s="1"/>
      <c r="B5" s="8" t="s">
        <v>5</v>
      </c>
      <c r="C5" s="21" t="s">
        <v>21</v>
      </c>
      <c r="D5" s="22">
        <v>5.3285003657645E7</v>
      </c>
      <c r="E5" s="23">
        <v>5.3783196781273E7</v>
      </c>
      <c r="F5" s="24">
        <v>6.6324667154353E7</v>
      </c>
      <c r="G5" s="23">
        <v>4.71669310344828E8</v>
      </c>
      <c r="H5" s="23">
        <v>5.02689310344828E8</v>
      </c>
      <c r="I5" s="24">
        <v>4.28834482758621E8</v>
      </c>
      <c r="J5" s="25">
        <v>3045267.909715</v>
      </c>
      <c r="K5" s="25">
        <v>5108378.802748</v>
      </c>
      <c r="L5" s="26">
        <v>4957277.723258</v>
      </c>
      <c r="M5" s="2"/>
      <c r="N5" s="8" t="s">
        <v>5</v>
      </c>
      <c r="O5" s="21" t="s">
        <v>21</v>
      </c>
      <c r="P5" s="22">
        <v>4.8267887323944E7</v>
      </c>
      <c r="Q5" s="23">
        <v>6.2537957746479E7</v>
      </c>
      <c r="R5" s="23">
        <v>6.1035845070423E7</v>
      </c>
      <c r="S5" s="22">
        <v>3.33469014084507E8</v>
      </c>
      <c r="T5" s="23">
        <v>4.03167042253521E8</v>
      </c>
      <c r="U5" s="24">
        <v>2.88605915492958E8</v>
      </c>
      <c r="V5" s="25">
        <v>4141307.35</v>
      </c>
      <c r="W5" s="25">
        <v>3758412.75</v>
      </c>
      <c r="X5" s="26">
        <v>5033048.72</v>
      </c>
      <c r="Y5" s="7"/>
      <c r="Z5" s="7"/>
      <c r="AA5" s="7"/>
    </row>
    <row r="6" outlineLevel="1">
      <c r="A6" s="1"/>
      <c r="B6" s="27"/>
      <c r="C6" s="28" t="s">
        <v>22</v>
      </c>
      <c r="D6" s="29">
        <v>4.79E7</v>
      </c>
      <c r="E6" s="3">
        <v>5.64E7</v>
      </c>
      <c r="F6" s="30">
        <v>7.37E7</v>
      </c>
      <c r="G6" s="3">
        <v>4.11E8</v>
      </c>
      <c r="H6" s="3">
        <v>4.57E8</v>
      </c>
      <c r="I6" s="30">
        <v>3.61E8</v>
      </c>
      <c r="J6" s="31">
        <v>1.92E9</v>
      </c>
      <c r="K6" s="31">
        <v>1.98E9</v>
      </c>
      <c r="L6" s="32">
        <v>2.89E9</v>
      </c>
      <c r="M6" s="2"/>
      <c r="N6" s="27"/>
      <c r="O6" s="28" t="s">
        <v>22</v>
      </c>
      <c r="P6" s="29">
        <v>7.27E7</v>
      </c>
      <c r="Q6" s="3">
        <v>5.8E7</v>
      </c>
      <c r="R6" s="3">
        <v>4.26E7</v>
      </c>
      <c r="S6" s="29">
        <v>1.84E8</v>
      </c>
      <c r="T6" s="3">
        <v>1.44E8</v>
      </c>
      <c r="U6" s="30">
        <v>2.19E8</v>
      </c>
      <c r="V6" s="31">
        <v>4.7E8</v>
      </c>
      <c r="W6" s="31">
        <v>4.87E8</v>
      </c>
      <c r="X6" s="32">
        <v>5.12E8</v>
      </c>
      <c r="Y6" s="7"/>
      <c r="Z6" s="33">
        <f>1900000000-49200000</f>
        <v>1850800000</v>
      </c>
      <c r="AA6" s="7"/>
    </row>
    <row r="7">
      <c r="A7" s="1"/>
      <c r="B7" s="27"/>
      <c r="C7" s="28" t="s">
        <v>23</v>
      </c>
      <c r="D7" s="34">
        <f t="shared" ref="D7:L7" si="1">D6/D5*100</f>
        <v>89.89396024</v>
      </c>
      <c r="E7" s="35">
        <f t="shared" si="1"/>
        <v>104.8654661</v>
      </c>
      <c r="F7" s="36">
        <f t="shared" si="1"/>
        <v>111.120045</v>
      </c>
      <c r="G7" s="35">
        <f t="shared" si="1"/>
        <v>87.13732079</v>
      </c>
      <c r="H7" s="35">
        <f t="shared" si="1"/>
        <v>90.91102408</v>
      </c>
      <c r="I7" s="36">
        <f t="shared" si="1"/>
        <v>84.18166321</v>
      </c>
      <c r="J7" s="37">
        <f t="shared" si="1"/>
        <v>63048.63995</v>
      </c>
      <c r="K7" s="37">
        <f t="shared" si="1"/>
        <v>38759.85076</v>
      </c>
      <c r="L7" s="38">
        <f t="shared" si="1"/>
        <v>58298.12573</v>
      </c>
      <c r="M7" s="2"/>
      <c r="N7" s="27"/>
      <c r="O7" s="28" t="s">
        <v>23</v>
      </c>
      <c r="P7" s="34">
        <f t="shared" ref="P7:X7" si="2">P6/P5*100</f>
        <v>150.6177379</v>
      </c>
      <c r="Q7" s="35">
        <f t="shared" si="2"/>
        <v>92.74367455</v>
      </c>
      <c r="R7" s="35">
        <f t="shared" si="2"/>
        <v>69.79505232</v>
      </c>
      <c r="S7" s="34">
        <f t="shared" si="2"/>
        <v>55.17754041</v>
      </c>
      <c r="T7" s="35">
        <f t="shared" si="2"/>
        <v>35.71720525</v>
      </c>
      <c r="U7" s="36">
        <f t="shared" si="2"/>
        <v>75.88202051</v>
      </c>
      <c r="V7" s="37">
        <f t="shared" si="2"/>
        <v>11349.07314</v>
      </c>
      <c r="W7" s="37">
        <f t="shared" si="2"/>
        <v>12957.59759</v>
      </c>
      <c r="X7" s="38">
        <f t="shared" si="2"/>
        <v>10172.76066</v>
      </c>
      <c r="Y7" s="7"/>
      <c r="Z7" s="39">
        <f>410000000-37400000</f>
        <v>372600000</v>
      </c>
      <c r="AA7" s="7"/>
    </row>
    <row r="8" outlineLevel="1">
      <c r="A8" s="1"/>
      <c r="B8" s="27"/>
      <c r="C8" s="28" t="s">
        <v>24</v>
      </c>
      <c r="D8" s="40"/>
      <c r="E8" s="41"/>
      <c r="F8" s="42"/>
      <c r="G8" s="3"/>
      <c r="H8" s="3"/>
      <c r="I8" s="30">
        <v>1.86E8</v>
      </c>
      <c r="J8" s="31"/>
      <c r="K8" s="31"/>
      <c r="L8" s="32">
        <v>289000.0</v>
      </c>
      <c r="M8" s="2"/>
      <c r="N8" s="27"/>
      <c r="O8" s="28"/>
      <c r="P8" s="29"/>
      <c r="Q8" s="3"/>
      <c r="R8" s="3"/>
      <c r="S8" s="29"/>
      <c r="T8" s="3"/>
      <c r="U8" s="30"/>
      <c r="V8" s="31"/>
      <c r="W8" s="31"/>
      <c r="X8" s="32"/>
      <c r="Y8" s="7"/>
      <c r="Z8" s="7"/>
      <c r="AA8" s="7"/>
    </row>
    <row r="9" outlineLevel="1">
      <c r="A9" s="1"/>
      <c r="B9" s="27"/>
      <c r="C9" s="28" t="s">
        <v>25</v>
      </c>
      <c r="D9" s="40"/>
      <c r="E9" s="41"/>
      <c r="F9" s="42"/>
      <c r="G9" s="3"/>
      <c r="H9" s="3"/>
      <c r="I9" s="43">
        <f>I8/I5*100</f>
        <v>43.37337772</v>
      </c>
      <c r="J9" s="44"/>
      <c r="K9" s="44"/>
      <c r="L9" s="45">
        <f>L8/L5*100</f>
        <v>5.829812573</v>
      </c>
      <c r="M9" s="2"/>
      <c r="N9" s="27"/>
      <c r="O9" s="28"/>
      <c r="P9" s="29"/>
      <c r="Q9" s="3"/>
      <c r="R9" s="3"/>
      <c r="S9" s="29"/>
      <c r="T9" s="3"/>
      <c r="U9" s="30"/>
      <c r="V9" s="31"/>
      <c r="W9" s="31"/>
      <c r="X9" s="32"/>
      <c r="Y9" s="7"/>
      <c r="Z9" s="7"/>
      <c r="AA9" s="7"/>
    </row>
    <row r="10" outlineLevel="1">
      <c r="A10" s="1"/>
      <c r="B10" s="27"/>
      <c r="C10" s="28" t="s">
        <v>26</v>
      </c>
      <c r="D10" s="40"/>
      <c r="E10" s="41"/>
      <c r="F10" s="42"/>
      <c r="G10" s="3"/>
      <c r="H10" s="3"/>
      <c r="I10" s="46">
        <f>(log(I5)-log(I8))/711</f>
        <v>0.0005102345368</v>
      </c>
      <c r="J10" s="31"/>
      <c r="K10" s="31"/>
      <c r="L10" s="47">
        <f>(log(L5)-log(L8))/727</f>
        <v>0.001697861633</v>
      </c>
      <c r="M10" s="2"/>
      <c r="N10" s="27"/>
      <c r="O10" s="28"/>
      <c r="P10" s="29"/>
      <c r="Q10" s="3"/>
      <c r="R10" s="3"/>
      <c r="S10" s="29"/>
      <c r="T10" s="3"/>
      <c r="U10" s="30"/>
      <c r="V10" s="31"/>
      <c r="W10" s="31"/>
      <c r="X10" s="32"/>
      <c r="Y10" s="7"/>
      <c r="Z10" s="7"/>
      <c r="AA10" s="7"/>
    </row>
    <row r="11" outlineLevel="1">
      <c r="A11" s="1"/>
      <c r="B11" s="27"/>
      <c r="C11" s="28" t="s">
        <v>27</v>
      </c>
      <c r="D11" s="40">
        <v>5.53E9</v>
      </c>
      <c r="E11" s="41">
        <v>8.46E9</v>
      </c>
      <c r="F11" s="42">
        <v>6.39E9</v>
      </c>
      <c r="G11" s="3">
        <v>2.28E10</v>
      </c>
      <c r="H11" s="3">
        <v>1.73E10</v>
      </c>
      <c r="I11" s="30">
        <v>1.47E10</v>
      </c>
      <c r="J11" s="31">
        <v>2.28E11</v>
      </c>
      <c r="K11" s="31">
        <v>2.72E11</v>
      </c>
      <c r="L11" s="32">
        <v>2.54E11</v>
      </c>
      <c r="M11" s="2"/>
      <c r="N11" s="27"/>
      <c r="O11" s="28" t="s">
        <v>27</v>
      </c>
      <c r="P11" s="29">
        <v>3.85E9</v>
      </c>
      <c r="Q11" s="3">
        <v>5.25E9</v>
      </c>
      <c r="R11" s="3">
        <v>5.78E9</v>
      </c>
      <c r="S11" s="29">
        <v>2.3E10</v>
      </c>
      <c r="T11" s="3">
        <v>2.19E10</v>
      </c>
      <c r="U11" s="30">
        <v>1.16E10</v>
      </c>
      <c r="V11" s="31">
        <v>1.41E10</v>
      </c>
      <c r="W11" s="31">
        <v>1.34E10</v>
      </c>
      <c r="X11" s="32">
        <v>1.68E10</v>
      </c>
      <c r="Y11" s="7"/>
      <c r="Z11" s="7"/>
      <c r="AA11" s="7"/>
    </row>
    <row r="12">
      <c r="A12" s="1"/>
      <c r="B12" s="27"/>
      <c r="C12" s="28" t="s">
        <v>28</v>
      </c>
      <c r="D12" s="48">
        <f t="shared" ref="D12:L12" si="3">(D11*0.2)/(D5*40)*100</f>
        <v>51.89077245</v>
      </c>
      <c r="E12" s="49">
        <f t="shared" si="3"/>
        <v>78.64909959</v>
      </c>
      <c r="F12" s="43">
        <f t="shared" si="3"/>
        <v>48.17212264</v>
      </c>
      <c r="G12" s="49">
        <f t="shared" si="3"/>
        <v>24.16947584</v>
      </c>
      <c r="H12" s="49">
        <f t="shared" si="3"/>
        <v>17.20744767</v>
      </c>
      <c r="I12" s="43">
        <f t="shared" si="3"/>
        <v>17.13947991</v>
      </c>
      <c r="J12" s="44">
        <f t="shared" si="3"/>
        <v>37435.12997</v>
      </c>
      <c r="K12" s="44">
        <f t="shared" si="3"/>
        <v>26622.92779</v>
      </c>
      <c r="L12" s="45">
        <f t="shared" si="3"/>
        <v>25618.89954</v>
      </c>
      <c r="M12" s="2"/>
      <c r="N12" s="27"/>
      <c r="O12" s="28" t="s">
        <v>28</v>
      </c>
      <c r="P12" s="48">
        <f t="shared" ref="P12:X12" si="4">(P11*0.2)/(P5*40)*100</f>
        <v>39.88158809</v>
      </c>
      <c r="Q12" s="49">
        <f t="shared" si="4"/>
        <v>41.97450788</v>
      </c>
      <c r="R12" s="49">
        <f t="shared" si="4"/>
        <v>47.34922563</v>
      </c>
      <c r="S12" s="48">
        <f t="shared" si="4"/>
        <v>34.48596276</v>
      </c>
      <c r="T12" s="49">
        <f t="shared" si="4"/>
        <v>27.15995816</v>
      </c>
      <c r="U12" s="43">
        <f t="shared" si="4"/>
        <v>20.09660817</v>
      </c>
      <c r="V12" s="44">
        <f t="shared" si="4"/>
        <v>1702.360971</v>
      </c>
      <c r="W12" s="44">
        <f t="shared" si="4"/>
        <v>1782.667431</v>
      </c>
      <c r="X12" s="45">
        <f t="shared" si="4"/>
        <v>1668.968545</v>
      </c>
      <c r="Y12" s="7"/>
      <c r="Z12" s="7"/>
      <c r="AA12" s="7"/>
    </row>
    <row r="13">
      <c r="A13" s="1"/>
      <c r="B13" s="27"/>
      <c r="C13" s="50" t="s">
        <v>29</v>
      </c>
      <c r="D13" s="51">
        <f t="shared" ref="D13:L13" si="5">(D11*0.2)/(D6*40)*100</f>
        <v>57.72442589</v>
      </c>
      <c r="E13" s="52">
        <f t="shared" si="5"/>
        <v>75</v>
      </c>
      <c r="F13" s="53">
        <f t="shared" si="5"/>
        <v>43.35142469</v>
      </c>
      <c r="G13" s="52">
        <f t="shared" si="5"/>
        <v>27.73722628</v>
      </c>
      <c r="H13" s="52">
        <f t="shared" si="5"/>
        <v>18.92778993</v>
      </c>
      <c r="I13" s="53">
        <f t="shared" si="5"/>
        <v>20.3601108</v>
      </c>
      <c r="J13" s="52">
        <f t="shared" si="5"/>
        <v>59.375</v>
      </c>
      <c r="K13" s="52">
        <f t="shared" si="5"/>
        <v>68.68686869</v>
      </c>
      <c r="L13" s="54">
        <f t="shared" si="5"/>
        <v>43.94463668</v>
      </c>
      <c r="M13" s="2"/>
      <c r="N13" s="27"/>
      <c r="O13" s="50" t="s">
        <v>29</v>
      </c>
      <c r="P13" s="55">
        <f t="shared" ref="P13:X13" si="6">(P11*0.2)/(P6*40)*100</f>
        <v>26.4786795</v>
      </c>
      <c r="Q13" s="56">
        <f t="shared" si="6"/>
        <v>45.25862069</v>
      </c>
      <c r="R13" s="56">
        <f t="shared" si="6"/>
        <v>67.84037559</v>
      </c>
      <c r="S13" s="55">
        <f t="shared" si="6"/>
        <v>62.5</v>
      </c>
      <c r="T13" s="56">
        <f t="shared" si="6"/>
        <v>76.04166667</v>
      </c>
      <c r="U13" s="57">
        <f t="shared" si="6"/>
        <v>26.48401826</v>
      </c>
      <c r="V13" s="56">
        <f t="shared" si="6"/>
        <v>15</v>
      </c>
      <c r="W13" s="56">
        <f t="shared" si="6"/>
        <v>13.75770021</v>
      </c>
      <c r="X13" s="58">
        <f t="shared" si="6"/>
        <v>16.40625</v>
      </c>
      <c r="Y13" s="7"/>
      <c r="Z13" s="7"/>
      <c r="AA13" s="7"/>
    </row>
    <row r="14" outlineLevel="1">
      <c r="A14" s="1"/>
      <c r="B14" s="27"/>
      <c r="C14" s="59" t="s">
        <v>8</v>
      </c>
      <c r="D14" s="60">
        <v>30.0</v>
      </c>
      <c r="E14" s="61">
        <v>30.0</v>
      </c>
      <c r="F14" s="62">
        <v>30.0</v>
      </c>
      <c r="G14" s="61">
        <v>40.0</v>
      </c>
      <c r="H14" s="61">
        <v>40.0</v>
      </c>
      <c r="I14" s="63">
        <v>40.0</v>
      </c>
      <c r="J14" s="61">
        <v>40.0</v>
      </c>
      <c r="K14" s="61">
        <v>40.0</v>
      </c>
      <c r="L14" s="64">
        <v>40.0</v>
      </c>
      <c r="M14" s="2"/>
      <c r="N14" s="27"/>
      <c r="O14" s="59" t="s">
        <v>8</v>
      </c>
      <c r="P14" s="60">
        <v>30.0</v>
      </c>
      <c r="Q14" s="61">
        <v>30.0</v>
      </c>
      <c r="R14" s="61">
        <v>30.0</v>
      </c>
      <c r="S14" s="65">
        <v>30.0</v>
      </c>
      <c r="T14" s="61">
        <v>30.0</v>
      </c>
      <c r="U14" s="63">
        <v>30.0</v>
      </c>
      <c r="V14" s="61">
        <v>30.0</v>
      </c>
      <c r="W14" s="61">
        <v>30.0</v>
      </c>
      <c r="X14" s="64">
        <v>30.0</v>
      </c>
      <c r="Y14" s="7"/>
      <c r="Z14" s="7"/>
      <c r="AA14" s="7"/>
    </row>
    <row r="15" outlineLevel="1">
      <c r="A15" s="1"/>
      <c r="B15" s="27"/>
      <c r="C15" s="28" t="s">
        <v>9</v>
      </c>
      <c r="D15" s="66">
        <v>1.92</v>
      </c>
      <c r="E15" s="1">
        <v>6.72</v>
      </c>
      <c r="F15" s="67">
        <v>2.52</v>
      </c>
      <c r="G15" s="1">
        <v>26.4</v>
      </c>
      <c r="H15" s="1">
        <v>10.7</v>
      </c>
      <c r="I15" s="19">
        <v>63.6</v>
      </c>
      <c r="J15" s="1">
        <v>52.4</v>
      </c>
      <c r="K15" s="1">
        <v>156.0</v>
      </c>
      <c r="L15" s="20">
        <v>8.62</v>
      </c>
      <c r="M15" s="2"/>
      <c r="N15" s="27"/>
      <c r="O15" s="28" t="s">
        <v>9</v>
      </c>
      <c r="P15" s="66">
        <v>0.956</v>
      </c>
      <c r="Q15" s="1">
        <v>3.86</v>
      </c>
      <c r="R15" s="1">
        <v>5.64</v>
      </c>
      <c r="S15" s="18">
        <v>8.24</v>
      </c>
      <c r="T15" s="1">
        <v>4.1</v>
      </c>
      <c r="U15" s="19">
        <v>14.4</v>
      </c>
      <c r="V15" s="1">
        <v>4.62</v>
      </c>
      <c r="W15" s="1">
        <v>15.4</v>
      </c>
      <c r="X15" s="20">
        <v>2.64</v>
      </c>
      <c r="Y15" s="7"/>
      <c r="Z15" s="7"/>
      <c r="AA15" s="7"/>
    </row>
    <row r="16">
      <c r="A16" s="1"/>
      <c r="B16" s="27"/>
      <c r="C16" s="28" t="s">
        <v>30</v>
      </c>
      <c r="D16" s="68">
        <f t="shared" ref="D16:L16" si="7">D15*D14</f>
        <v>57.6</v>
      </c>
      <c r="E16" s="69">
        <f t="shared" si="7"/>
        <v>201.6</v>
      </c>
      <c r="F16" s="70">
        <f t="shared" si="7"/>
        <v>75.6</v>
      </c>
      <c r="G16" s="69">
        <f t="shared" si="7"/>
        <v>1056</v>
      </c>
      <c r="H16" s="69">
        <f t="shared" si="7"/>
        <v>428</v>
      </c>
      <c r="I16" s="70">
        <f t="shared" si="7"/>
        <v>2544</v>
      </c>
      <c r="J16" s="69">
        <f t="shared" si="7"/>
        <v>2096</v>
      </c>
      <c r="K16" s="69">
        <f t="shared" si="7"/>
        <v>6240</v>
      </c>
      <c r="L16" s="71">
        <f t="shared" si="7"/>
        <v>344.8</v>
      </c>
      <c r="M16" s="2"/>
      <c r="N16" s="27"/>
      <c r="O16" s="28" t="s">
        <v>30</v>
      </c>
      <c r="P16" s="68">
        <f t="shared" ref="P16:X16" si="8">P15*P14</f>
        <v>28.68</v>
      </c>
      <c r="Q16" s="69">
        <f t="shared" si="8"/>
        <v>115.8</v>
      </c>
      <c r="R16" s="69">
        <f t="shared" si="8"/>
        <v>169.2</v>
      </c>
      <c r="S16" s="68">
        <f t="shared" si="8"/>
        <v>247.2</v>
      </c>
      <c r="T16" s="69">
        <f t="shared" si="8"/>
        <v>123</v>
      </c>
      <c r="U16" s="70">
        <f t="shared" si="8"/>
        <v>432</v>
      </c>
      <c r="V16" s="69">
        <f t="shared" si="8"/>
        <v>138.6</v>
      </c>
      <c r="W16" s="69">
        <f t="shared" si="8"/>
        <v>462</v>
      </c>
      <c r="X16" s="71">
        <f t="shared" si="8"/>
        <v>79.2</v>
      </c>
      <c r="Y16" s="7"/>
      <c r="Z16" s="7"/>
      <c r="AA16" s="7"/>
    </row>
    <row r="17">
      <c r="A17" s="1"/>
      <c r="B17" s="27"/>
      <c r="C17" s="72"/>
      <c r="D17" s="73">
        <f t="shared" ref="D17:L17" si="9">D16/D11</f>
        <v>0.0000000104159132</v>
      </c>
      <c r="E17" s="73">
        <f t="shared" si="9"/>
        <v>0.00000002382978723</v>
      </c>
      <c r="F17" s="73">
        <f t="shared" si="9"/>
        <v>0.00000001183098592</v>
      </c>
      <c r="G17" s="73">
        <f t="shared" si="9"/>
        <v>0.00000004631578947</v>
      </c>
      <c r="H17" s="73">
        <f t="shared" si="9"/>
        <v>0.00000002473988439</v>
      </c>
      <c r="I17" s="73">
        <f t="shared" si="9"/>
        <v>0.0000001730612245</v>
      </c>
      <c r="J17" s="73">
        <f t="shared" si="9"/>
        <v>0.000000009192982456</v>
      </c>
      <c r="K17" s="73">
        <f t="shared" si="9"/>
        <v>0.00000002294117647</v>
      </c>
      <c r="L17" s="73">
        <f t="shared" si="9"/>
        <v>0.000000001357480315</v>
      </c>
      <c r="M17" s="2"/>
      <c r="N17" s="27"/>
      <c r="O17" s="72"/>
      <c r="P17" s="74">
        <f t="shared" ref="P17:X17" si="10">P16/P11</f>
        <v>0.000000007449350649</v>
      </c>
      <c r="Q17" s="74">
        <f t="shared" si="10"/>
        <v>0.00000002205714286</v>
      </c>
      <c r="R17" s="74">
        <f t="shared" si="10"/>
        <v>0.0000000292733564</v>
      </c>
      <c r="S17" s="74">
        <f t="shared" si="10"/>
        <v>0.00000001074782609</v>
      </c>
      <c r="T17" s="74">
        <f t="shared" si="10"/>
        <v>0.000000005616438356</v>
      </c>
      <c r="U17" s="74">
        <f t="shared" si="10"/>
        <v>0.00000003724137931</v>
      </c>
      <c r="V17" s="74">
        <f t="shared" si="10"/>
        <v>0.000000009829787234</v>
      </c>
      <c r="W17" s="74">
        <f t="shared" si="10"/>
        <v>0.00000003447761194</v>
      </c>
      <c r="X17" s="74">
        <f t="shared" si="10"/>
        <v>0.000000004714285714</v>
      </c>
      <c r="Y17" s="7"/>
      <c r="Z17" s="75"/>
      <c r="AA17" s="7"/>
    </row>
    <row r="18">
      <c r="A18" s="1"/>
      <c r="B18" s="27"/>
      <c r="C18" s="72" t="s">
        <v>31</v>
      </c>
      <c r="D18" s="76">
        <f t="shared" ref="D18:L18" si="11">D16/(D5*40)*1000000000</f>
        <v>27.02448909</v>
      </c>
      <c r="E18" s="49">
        <f t="shared" si="11"/>
        <v>93.70956547</v>
      </c>
      <c r="F18" s="77">
        <f t="shared" si="11"/>
        <v>28.49618522</v>
      </c>
      <c r="G18" s="49">
        <f t="shared" si="11"/>
        <v>55.97141773</v>
      </c>
      <c r="H18" s="49">
        <f t="shared" si="11"/>
        <v>21.2855133</v>
      </c>
      <c r="I18" s="43">
        <f t="shared" si="11"/>
        <v>148.308969</v>
      </c>
      <c r="J18" s="49">
        <f t="shared" si="11"/>
        <v>17207.02465</v>
      </c>
      <c r="K18" s="49">
        <f t="shared" si="11"/>
        <v>30538.06423</v>
      </c>
      <c r="L18" s="78">
        <f t="shared" si="11"/>
        <v>1738.857591</v>
      </c>
      <c r="M18" s="2"/>
      <c r="N18" s="27"/>
      <c r="O18" s="72" t="s">
        <v>32</v>
      </c>
      <c r="P18" s="76">
        <f t="shared" ref="P18:X18" si="12">P16/(P5*40)*1000000000</f>
        <v>14.85459671</v>
      </c>
      <c r="Q18" s="49">
        <f t="shared" si="12"/>
        <v>46.29188583</v>
      </c>
      <c r="R18" s="49">
        <f t="shared" si="12"/>
        <v>69.30353787</v>
      </c>
      <c r="S18" s="48">
        <f t="shared" si="12"/>
        <v>18.53245651</v>
      </c>
      <c r="T18" s="49">
        <f t="shared" si="12"/>
        <v>7.627111539</v>
      </c>
      <c r="U18" s="43">
        <f t="shared" si="12"/>
        <v>37.42127039</v>
      </c>
      <c r="V18" s="49">
        <f t="shared" si="12"/>
        <v>836.6923068</v>
      </c>
      <c r="W18" s="49">
        <f t="shared" si="12"/>
        <v>3073.105794</v>
      </c>
      <c r="X18" s="78">
        <f t="shared" si="12"/>
        <v>393.3997285</v>
      </c>
      <c r="Y18" s="7"/>
      <c r="Z18" s="75"/>
      <c r="AA18" s="7"/>
    </row>
    <row r="19">
      <c r="A19" s="1"/>
      <c r="B19" s="27"/>
      <c r="C19" s="72" t="s">
        <v>33</v>
      </c>
      <c r="D19" s="76">
        <f t="shared" ref="D19:G19" si="13">D16/(D6*40)*1000000000</f>
        <v>30.06263048</v>
      </c>
      <c r="E19" s="49">
        <f t="shared" si="13"/>
        <v>89.36170213</v>
      </c>
      <c r="F19" s="77">
        <f t="shared" si="13"/>
        <v>25.64450475</v>
      </c>
      <c r="G19" s="49">
        <f t="shared" si="13"/>
        <v>64.23357664</v>
      </c>
      <c r="H19" s="49" t="s">
        <v>34</v>
      </c>
      <c r="I19" s="43">
        <f t="shared" ref="I19:L19" si="14">I16/(I6*40)*1000000000</f>
        <v>176.1772853</v>
      </c>
      <c r="J19" s="49">
        <f t="shared" si="14"/>
        <v>27.29166667</v>
      </c>
      <c r="K19" s="49">
        <f t="shared" si="14"/>
        <v>78.78787879</v>
      </c>
      <c r="L19" s="78">
        <f t="shared" si="14"/>
        <v>2.982698962</v>
      </c>
      <c r="M19" s="2"/>
      <c r="N19" s="27"/>
      <c r="O19" s="72" t="s">
        <v>33</v>
      </c>
      <c r="P19" s="76">
        <f t="shared" ref="P19:X19" si="15">P16/(P6*40)*1000000000</f>
        <v>9.862448418</v>
      </c>
      <c r="Q19" s="49">
        <f t="shared" si="15"/>
        <v>49.9137931</v>
      </c>
      <c r="R19" s="49">
        <f t="shared" si="15"/>
        <v>99.29577465</v>
      </c>
      <c r="S19" s="48">
        <f t="shared" si="15"/>
        <v>33.58695652</v>
      </c>
      <c r="T19" s="49">
        <f t="shared" si="15"/>
        <v>21.35416667</v>
      </c>
      <c r="U19" s="43">
        <f t="shared" si="15"/>
        <v>49.31506849</v>
      </c>
      <c r="V19" s="49">
        <f t="shared" si="15"/>
        <v>7.372340426</v>
      </c>
      <c r="W19" s="49">
        <f t="shared" si="15"/>
        <v>23.71663244</v>
      </c>
      <c r="X19" s="78">
        <f t="shared" si="15"/>
        <v>3.8671875</v>
      </c>
      <c r="Y19" s="7"/>
      <c r="Z19" s="7"/>
      <c r="AA19" s="7"/>
    </row>
    <row r="20">
      <c r="A20" s="1"/>
      <c r="B20" s="27"/>
      <c r="C20" s="79" t="s">
        <v>35</v>
      </c>
      <c r="D20" s="80">
        <f t="shared" ref="D20:L20" si="16">D16/(D11*0.2)*1000000000</f>
        <v>52.079566</v>
      </c>
      <c r="E20" s="56">
        <f t="shared" si="16"/>
        <v>119.1489362</v>
      </c>
      <c r="F20" s="81">
        <f t="shared" si="16"/>
        <v>59.15492958</v>
      </c>
      <c r="G20" s="56">
        <f t="shared" si="16"/>
        <v>231.5789474</v>
      </c>
      <c r="H20" s="56">
        <f t="shared" si="16"/>
        <v>123.699422</v>
      </c>
      <c r="I20" s="57">
        <f t="shared" si="16"/>
        <v>865.3061224</v>
      </c>
      <c r="J20" s="56">
        <f t="shared" si="16"/>
        <v>45.96491228</v>
      </c>
      <c r="K20" s="56">
        <f t="shared" si="16"/>
        <v>114.7058824</v>
      </c>
      <c r="L20" s="58">
        <f t="shared" si="16"/>
        <v>6.787401575</v>
      </c>
      <c r="M20" s="2"/>
      <c r="N20" s="27"/>
      <c r="O20" s="79" t="s">
        <v>36</v>
      </c>
      <c r="P20" s="80">
        <f t="shared" ref="P20:X20" si="17">P16/(P11*0.2)*1000000000</f>
        <v>37.24675325</v>
      </c>
      <c r="Q20" s="56">
        <f t="shared" si="17"/>
        <v>110.2857143</v>
      </c>
      <c r="R20" s="56">
        <f t="shared" si="17"/>
        <v>146.366782</v>
      </c>
      <c r="S20" s="55">
        <f t="shared" si="17"/>
        <v>53.73913043</v>
      </c>
      <c r="T20" s="56">
        <f t="shared" si="17"/>
        <v>28.08219178</v>
      </c>
      <c r="U20" s="57">
        <f t="shared" si="17"/>
        <v>186.2068966</v>
      </c>
      <c r="V20" s="56">
        <f t="shared" si="17"/>
        <v>49.14893617</v>
      </c>
      <c r="W20" s="56">
        <f t="shared" si="17"/>
        <v>172.3880597</v>
      </c>
      <c r="X20" s="58">
        <f t="shared" si="17"/>
        <v>23.57142857</v>
      </c>
      <c r="Y20" s="7"/>
      <c r="Z20" s="7"/>
      <c r="AA20" s="7"/>
    </row>
    <row r="21">
      <c r="A21" s="1"/>
      <c r="B21" s="82"/>
      <c r="C21" s="83" t="s">
        <v>11</v>
      </c>
      <c r="D21" s="84" t="s">
        <v>37</v>
      </c>
      <c r="E21" s="85"/>
      <c r="F21" s="86"/>
      <c r="G21" s="87" t="s">
        <v>38</v>
      </c>
      <c r="H21" s="85"/>
      <c r="I21" s="85"/>
      <c r="J21" s="85"/>
      <c r="K21" s="85"/>
      <c r="L21" s="88"/>
      <c r="M21" s="2"/>
      <c r="N21" s="82"/>
      <c r="O21" s="83" t="s">
        <v>11</v>
      </c>
      <c r="P21" s="84" t="s">
        <v>37</v>
      </c>
      <c r="Q21" s="85"/>
      <c r="R21" s="85"/>
      <c r="S21" s="85"/>
      <c r="T21" s="85"/>
      <c r="U21" s="85"/>
      <c r="V21" s="85"/>
      <c r="W21" s="85"/>
      <c r="X21" s="88"/>
      <c r="Y21" s="7"/>
      <c r="Z21" s="7"/>
      <c r="AA21" s="7"/>
    </row>
    <row r="22">
      <c r="A22" s="1"/>
      <c r="B22" s="8" t="s">
        <v>13</v>
      </c>
      <c r="C22" s="21" t="s">
        <v>21</v>
      </c>
      <c r="D22" s="89"/>
      <c r="E22" s="9"/>
      <c r="F22" s="90"/>
      <c r="G22" s="22">
        <v>1.94140335289187E8</v>
      </c>
      <c r="H22" s="23">
        <v>1.91410159262364E8</v>
      </c>
      <c r="I22" s="24">
        <v>8.9152657166806E7</v>
      </c>
      <c r="J22" s="25">
        <v>492635.726795</v>
      </c>
      <c r="K22" s="25">
        <v>388922.942207</v>
      </c>
      <c r="L22" s="26">
        <v>243725.043783</v>
      </c>
      <c r="M22" s="2"/>
      <c r="N22" s="8" t="s">
        <v>13</v>
      </c>
      <c r="O22" s="21" t="s">
        <v>21</v>
      </c>
      <c r="P22" s="22">
        <v>4.6743511338698E7</v>
      </c>
      <c r="Q22" s="23">
        <v>4.8606320409656E7</v>
      </c>
      <c r="R22" s="24">
        <v>4.4274206291149E7</v>
      </c>
      <c r="S22" s="22">
        <v>1.35160051216389E8</v>
      </c>
      <c r="T22" s="23">
        <v>1.72906530089629E8</v>
      </c>
      <c r="U22" s="24">
        <v>1.88681177976953E8</v>
      </c>
      <c r="V22" s="25">
        <v>466069.14</v>
      </c>
      <c r="W22" s="25">
        <v>466069.14</v>
      </c>
      <c r="X22" s="26">
        <v>460947.5</v>
      </c>
      <c r="Y22" s="7"/>
      <c r="Z22" s="7"/>
      <c r="AA22" s="7"/>
    </row>
    <row r="23" outlineLevel="1">
      <c r="A23" s="1"/>
      <c r="B23" s="27"/>
      <c r="C23" s="28" t="s">
        <v>22</v>
      </c>
      <c r="D23" s="91"/>
      <c r="F23" s="92"/>
      <c r="G23" s="29">
        <v>2.15E8</v>
      </c>
      <c r="H23" s="3">
        <v>2.37E8</v>
      </c>
      <c r="I23" s="30">
        <v>1.19E8</v>
      </c>
      <c r="J23" s="31">
        <v>6.98E8</v>
      </c>
      <c r="K23" s="31">
        <v>6.54E8</v>
      </c>
      <c r="L23" s="32">
        <v>5.2E8</v>
      </c>
      <c r="M23" s="2"/>
      <c r="N23" s="27"/>
      <c r="O23" s="28" t="s">
        <v>22</v>
      </c>
      <c r="P23" s="29">
        <v>5.31E7</v>
      </c>
      <c r="Q23" s="3">
        <v>4860000.0</v>
      </c>
      <c r="R23" s="30">
        <v>7.39E7</v>
      </c>
      <c r="S23" s="29">
        <v>1.09E8</v>
      </c>
      <c r="T23" s="3">
        <v>1.29E8</v>
      </c>
      <c r="U23" s="30">
        <v>1.73E8</v>
      </c>
      <c r="V23" s="31">
        <v>9.03E7</v>
      </c>
      <c r="W23" s="31">
        <v>1.08E8</v>
      </c>
      <c r="X23" s="32">
        <v>4.11E7</v>
      </c>
      <c r="Y23" s="7"/>
      <c r="Z23" s="7"/>
      <c r="AA23" s="7"/>
    </row>
    <row r="24">
      <c r="A24" s="1"/>
      <c r="B24" s="27"/>
      <c r="C24" s="28" t="s">
        <v>23</v>
      </c>
      <c r="D24" s="91"/>
      <c r="F24" s="92"/>
      <c r="G24" s="48">
        <f t="shared" ref="G24:L24" si="18">G23/G22*100</f>
        <v>110.7446321</v>
      </c>
      <c r="H24" s="49">
        <f t="shared" si="18"/>
        <v>123.8178793</v>
      </c>
      <c r="I24" s="43">
        <f t="shared" si="18"/>
        <v>133.4789156</v>
      </c>
      <c r="J24" s="44">
        <f t="shared" si="18"/>
        <v>141686.8412</v>
      </c>
      <c r="K24" s="44">
        <f t="shared" si="18"/>
        <v>168156.7038</v>
      </c>
      <c r="L24" s="45">
        <f t="shared" si="18"/>
        <v>213355.1776</v>
      </c>
      <c r="M24" s="2"/>
      <c r="N24" s="27"/>
      <c r="O24" s="28" t="s">
        <v>23</v>
      </c>
      <c r="P24" s="34">
        <f t="shared" ref="P24:X24" si="19">P23/P22*100</f>
        <v>113.5986546</v>
      </c>
      <c r="Q24" s="35">
        <f t="shared" si="19"/>
        <v>9.998699673</v>
      </c>
      <c r="R24" s="36">
        <f t="shared" si="19"/>
        <v>166.9143418</v>
      </c>
      <c r="S24" s="34">
        <f t="shared" si="19"/>
        <v>80.64513073</v>
      </c>
      <c r="T24" s="35">
        <f t="shared" si="19"/>
        <v>74.60678318</v>
      </c>
      <c r="U24" s="36">
        <f t="shared" si="19"/>
        <v>91.6890608</v>
      </c>
      <c r="V24" s="37">
        <f t="shared" si="19"/>
        <v>19374.80778</v>
      </c>
      <c r="W24" s="37">
        <f t="shared" si="19"/>
        <v>23172.52758</v>
      </c>
      <c r="X24" s="38">
        <f t="shared" si="19"/>
        <v>8916.416729</v>
      </c>
      <c r="Y24" s="7"/>
      <c r="Z24" s="7"/>
      <c r="AA24" s="7"/>
    </row>
    <row r="25" outlineLevel="1">
      <c r="A25" s="1"/>
      <c r="B25" s="27"/>
      <c r="C25" s="28" t="s">
        <v>24</v>
      </c>
      <c r="D25" s="91"/>
      <c r="F25" s="92"/>
      <c r="G25" s="29"/>
      <c r="H25" s="3"/>
      <c r="I25" s="30"/>
      <c r="J25" s="31">
        <v>340000.0</v>
      </c>
      <c r="K25" s="31">
        <v>206000.0</v>
      </c>
      <c r="L25" s="32"/>
      <c r="M25" s="2"/>
      <c r="N25" s="27"/>
      <c r="O25" s="28"/>
      <c r="P25" s="29"/>
      <c r="Q25" s="3"/>
      <c r="R25" s="30"/>
      <c r="S25" s="29"/>
      <c r="T25" s="3"/>
      <c r="U25" s="30"/>
      <c r="V25" s="31"/>
      <c r="W25" s="31"/>
      <c r="X25" s="32"/>
      <c r="Y25" s="7"/>
      <c r="Z25" s="7"/>
      <c r="AA25" s="7"/>
    </row>
    <row r="26" outlineLevel="1">
      <c r="A26" s="1"/>
      <c r="B26" s="27"/>
      <c r="C26" s="28" t="s">
        <v>25</v>
      </c>
      <c r="D26" s="91"/>
      <c r="F26" s="92"/>
      <c r="G26" s="29"/>
      <c r="H26" s="3"/>
      <c r="I26" s="30"/>
      <c r="J26" s="44">
        <f t="shared" ref="J26:K26" si="20">J25/J22*100</f>
        <v>69.01651291</v>
      </c>
      <c r="K26" s="44">
        <f t="shared" si="20"/>
        <v>52.9667905</v>
      </c>
      <c r="L26" s="32"/>
      <c r="M26" s="2"/>
      <c r="N26" s="27"/>
      <c r="O26" s="28"/>
      <c r="P26" s="29"/>
      <c r="Q26" s="3"/>
      <c r="R26" s="30"/>
      <c r="S26" s="29"/>
      <c r="T26" s="3"/>
      <c r="U26" s="30"/>
      <c r="V26" s="31"/>
      <c r="W26" s="31"/>
      <c r="X26" s="32"/>
      <c r="Y26" s="7"/>
      <c r="Z26" s="7"/>
      <c r="AA26" s="7"/>
    </row>
    <row r="27" outlineLevel="1">
      <c r="A27" s="1"/>
      <c r="B27" s="27"/>
      <c r="C27" s="28" t="s">
        <v>26</v>
      </c>
      <c r="D27" s="91"/>
      <c r="F27" s="92"/>
      <c r="G27" s="29"/>
      <c r="H27" s="3"/>
      <c r="I27" s="30"/>
      <c r="J27" s="93">
        <f t="shared" ref="J27:K27" si="21">(log(J22)-log(J25))/719</f>
        <v>0.0002239874651</v>
      </c>
      <c r="K27" s="93">
        <f t="shared" si="21"/>
        <v>0.0003838613938</v>
      </c>
      <c r="L27" s="32"/>
      <c r="M27" s="2"/>
      <c r="N27" s="27"/>
      <c r="O27" s="28"/>
      <c r="P27" s="29"/>
      <c r="Q27" s="3"/>
      <c r="R27" s="30"/>
      <c r="S27" s="29"/>
      <c r="T27" s="3"/>
      <c r="U27" s="30"/>
      <c r="V27" s="31"/>
      <c r="W27" s="31"/>
      <c r="X27" s="32"/>
      <c r="Y27" s="7"/>
      <c r="Z27" s="7"/>
      <c r="AA27" s="7"/>
    </row>
    <row r="28" outlineLevel="1">
      <c r="A28" s="1"/>
      <c r="B28" s="27"/>
      <c r="C28" s="28" t="s">
        <v>27</v>
      </c>
      <c r="D28" s="91"/>
      <c r="F28" s="92"/>
      <c r="G28" s="29">
        <v>1.12E10</v>
      </c>
      <c r="H28" s="3">
        <v>9.28E9</v>
      </c>
      <c r="I28" s="30">
        <v>5.92E9</v>
      </c>
      <c r="J28" s="31">
        <v>1.05E11</v>
      </c>
      <c r="K28" s="31">
        <v>8.75E10</v>
      </c>
      <c r="L28" s="32">
        <v>6.42E10</v>
      </c>
      <c r="M28" s="2"/>
      <c r="N28" s="27"/>
      <c r="O28" s="28" t="s">
        <v>27</v>
      </c>
      <c r="P28" s="29">
        <v>3.85E9</v>
      </c>
      <c r="Q28" s="3">
        <v>8.49E8</v>
      </c>
      <c r="R28" s="30">
        <v>4.24E9</v>
      </c>
      <c r="S28" s="29">
        <v>1.7E9</v>
      </c>
      <c r="T28" s="3">
        <v>8.05E9</v>
      </c>
      <c r="U28" s="30">
        <v>9.76E9</v>
      </c>
      <c r="V28" s="31">
        <v>2.99E9</v>
      </c>
      <c r="W28" s="31">
        <v>5.54E9</v>
      </c>
      <c r="X28" s="32">
        <v>5.57E9</v>
      </c>
      <c r="Y28" s="7"/>
      <c r="Z28" s="7"/>
      <c r="AA28" s="7"/>
    </row>
    <row r="29">
      <c r="A29" s="1"/>
      <c r="B29" s="27"/>
      <c r="C29" s="28" t="s">
        <v>28</v>
      </c>
      <c r="D29" s="91"/>
      <c r="F29" s="92"/>
      <c r="G29" s="48">
        <f t="shared" ref="G29:L29" si="22">(G28*0.2)/(G22*40)*100</f>
        <v>28.84511347</v>
      </c>
      <c r="H29" s="49">
        <f t="shared" si="22"/>
        <v>24.24113755</v>
      </c>
      <c r="I29" s="43">
        <f t="shared" si="22"/>
        <v>33.20147816</v>
      </c>
      <c r="J29" s="44">
        <f t="shared" si="22"/>
        <v>106569.6155</v>
      </c>
      <c r="K29" s="44">
        <f t="shared" si="22"/>
        <v>112490.1497</v>
      </c>
      <c r="L29" s="45">
        <f t="shared" si="22"/>
        <v>131705.7923</v>
      </c>
      <c r="M29" s="2"/>
      <c r="N29" s="27"/>
      <c r="O29" s="28" t="s">
        <v>28</v>
      </c>
      <c r="P29" s="48">
        <f t="shared" ref="P29:X29" si="23">(P28*0.2)/(P22*40)*100</f>
        <v>41.18218647</v>
      </c>
      <c r="Q29" s="49">
        <f t="shared" si="23"/>
        <v>8.733432122</v>
      </c>
      <c r="R29" s="43">
        <f t="shared" si="23"/>
        <v>47.88341063</v>
      </c>
      <c r="S29" s="48">
        <f t="shared" si="23"/>
        <v>6.28884047</v>
      </c>
      <c r="T29" s="49">
        <f t="shared" si="23"/>
        <v>23.27847305</v>
      </c>
      <c r="U29" s="43">
        <f t="shared" si="23"/>
        <v>25.86373507</v>
      </c>
      <c r="V29" s="44">
        <f t="shared" si="23"/>
        <v>3207.678586</v>
      </c>
      <c r="W29" s="44">
        <f t="shared" si="23"/>
        <v>5943.324203</v>
      </c>
      <c r="X29" s="45">
        <f t="shared" si="23"/>
        <v>6041.90282</v>
      </c>
      <c r="Y29" s="7"/>
      <c r="Z29" s="7"/>
      <c r="AA29" s="7"/>
    </row>
    <row r="30">
      <c r="A30" s="1"/>
      <c r="B30" s="27"/>
      <c r="C30" s="50" t="s">
        <v>29</v>
      </c>
      <c r="D30" s="94"/>
      <c r="E30" s="95"/>
      <c r="F30" s="96"/>
      <c r="G30" s="55">
        <f t="shared" ref="G30:L30" si="24">(G28*0.2)/(G23*40)*100</f>
        <v>26.04651163</v>
      </c>
      <c r="H30" s="56">
        <f t="shared" si="24"/>
        <v>19.57805907</v>
      </c>
      <c r="I30" s="57">
        <f t="shared" si="24"/>
        <v>24.87394958</v>
      </c>
      <c r="J30" s="56">
        <f t="shared" si="24"/>
        <v>75.21489971</v>
      </c>
      <c r="K30" s="56">
        <f t="shared" si="24"/>
        <v>66.89602446</v>
      </c>
      <c r="L30" s="58">
        <f t="shared" si="24"/>
        <v>61.73076923</v>
      </c>
      <c r="M30" s="2"/>
      <c r="N30" s="27"/>
      <c r="O30" s="50" t="s">
        <v>29</v>
      </c>
      <c r="P30" s="55">
        <f t="shared" ref="P30:X30" si="25">(P28*0.2)/(P23*40)*100</f>
        <v>36.25235405</v>
      </c>
      <c r="Q30" s="56">
        <f t="shared" si="25"/>
        <v>87.34567901</v>
      </c>
      <c r="R30" s="57">
        <f t="shared" si="25"/>
        <v>28.68741543</v>
      </c>
      <c r="S30" s="55">
        <f t="shared" si="25"/>
        <v>7.798165138</v>
      </c>
      <c r="T30" s="56">
        <f t="shared" si="25"/>
        <v>31.20155039</v>
      </c>
      <c r="U30" s="57">
        <f t="shared" si="25"/>
        <v>28.20809249</v>
      </c>
      <c r="V30" s="56">
        <f t="shared" si="25"/>
        <v>16.5559247</v>
      </c>
      <c r="W30" s="56">
        <f t="shared" si="25"/>
        <v>25.64814815</v>
      </c>
      <c r="X30" s="58">
        <f t="shared" si="25"/>
        <v>67.76155718</v>
      </c>
      <c r="Y30" s="7"/>
      <c r="Z30" s="7"/>
      <c r="AA30" s="7"/>
    </row>
    <row r="31" outlineLevel="1">
      <c r="A31" s="1"/>
      <c r="B31" s="27"/>
      <c r="C31" s="59" t="s">
        <v>8</v>
      </c>
      <c r="D31" s="97"/>
      <c r="E31" s="98"/>
      <c r="F31" s="98"/>
      <c r="G31" s="65">
        <v>40.0</v>
      </c>
      <c r="H31" s="61">
        <v>40.0</v>
      </c>
      <c r="I31" s="63">
        <v>40.0</v>
      </c>
      <c r="J31" s="99">
        <v>40.0</v>
      </c>
      <c r="K31" s="61">
        <v>40.0</v>
      </c>
      <c r="L31" s="100">
        <v>40.0</v>
      </c>
      <c r="M31" s="2"/>
      <c r="N31" s="27"/>
      <c r="O31" s="59" t="s">
        <v>8</v>
      </c>
      <c r="P31" s="60">
        <v>30.0</v>
      </c>
      <c r="Q31" s="61">
        <v>30.0</v>
      </c>
      <c r="R31" s="99">
        <v>30.0</v>
      </c>
      <c r="S31" s="65">
        <v>30.0</v>
      </c>
      <c r="T31" s="61">
        <v>30.0</v>
      </c>
      <c r="U31" s="63">
        <v>30.0</v>
      </c>
      <c r="V31" s="61">
        <v>30.0</v>
      </c>
      <c r="W31" s="61">
        <v>30.0</v>
      </c>
      <c r="X31" s="64">
        <v>30.0</v>
      </c>
      <c r="Y31" s="7"/>
      <c r="Z31" s="7"/>
      <c r="AA31" s="7"/>
    </row>
    <row r="32" outlineLevel="1">
      <c r="A32" s="1"/>
      <c r="B32" s="27"/>
      <c r="C32" s="28" t="s">
        <v>9</v>
      </c>
      <c r="D32" s="91"/>
      <c r="G32" s="18">
        <v>12.2</v>
      </c>
      <c r="H32" s="1">
        <v>14.1</v>
      </c>
      <c r="I32" s="19">
        <v>6.46</v>
      </c>
      <c r="J32" s="101">
        <v>1.66</v>
      </c>
      <c r="K32" s="1">
        <v>12.9</v>
      </c>
      <c r="L32" s="102">
        <v>0.482</v>
      </c>
      <c r="M32" s="2"/>
      <c r="N32" s="27"/>
      <c r="O32" s="28" t="s">
        <v>9</v>
      </c>
      <c r="P32" s="66">
        <v>2.14</v>
      </c>
      <c r="Q32" s="1">
        <v>6.62</v>
      </c>
      <c r="R32" s="101">
        <v>1.45</v>
      </c>
      <c r="S32" s="18">
        <v>12.4</v>
      </c>
      <c r="T32" s="1">
        <v>8.44</v>
      </c>
      <c r="U32" s="19">
        <v>45.6</v>
      </c>
      <c r="V32" s="1">
        <v>6.92</v>
      </c>
      <c r="W32" s="1">
        <v>3.02</v>
      </c>
      <c r="X32" s="20">
        <v>6.54</v>
      </c>
      <c r="Y32" s="7"/>
      <c r="Z32" s="7"/>
      <c r="AA32" s="7"/>
    </row>
    <row r="33">
      <c r="A33" s="1"/>
      <c r="B33" s="27"/>
      <c r="C33" s="28" t="s">
        <v>30</v>
      </c>
      <c r="D33" s="91"/>
      <c r="G33" s="68">
        <f t="shared" ref="G33:L33" si="26">G32*G31</f>
        <v>488</v>
      </c>
      <c r="H33" s="69">
        <f t="shared" si="26"/>
        <v>564</v>
      </c>
      <c r="I33" s="70">
        <f t="shared" si="26"/>
        <v>258.4</v>
      </c>
      <c r="J33" s="69">
        <f t="shared" si="26"/>
        <v>66.4</v>
      </c>
      <c r="K33" s="69">
        <f t="shared" si="26"/>
        <v>516</v>
      </c>
      <c r="L33" s="71">
        <f t="shared" si="26"/>
        <v>19.28</v>
      </c>
      <c r="M33" s="2"/>
      <c r="N33" s="27"/>
      <c r="O33" s="28" t="s">
        <v>30</v>
      </c>
      <c r="P33" s="68">
        <f t="shared" ref="P33:X33" si="27">P32*P31</f>
        <v>64.2</v>
      </c>
      <c r="Q33" s="69">
        <f t="shared" si="27"/>
        <v>198.6</v>
      </c>
      <c r="R33" s="70">
        <f t="shared" si="27"/>
        <v>43.5</v>
      </c>
      <c r="S33" s="68">
        <f t="shared" si="27"/>
        <v>372</v>
      </c>
      <c r="T33" s="69">
        <f t="shared" si="27"/>
        <v>253.2</v>
      </c>
      <c r="U33" s="70">
        <f t="shared" si="27"/>
        <v>1368</v>
      </c>
      <c r="V33" s="69">
        <f t="shared" si="27"/>
        <v>207.6</v>
      </c>
      <c r="W33" s="69">
        <f t="shared" si="27"/>
        <v>90.6</v>
      </c>
      <c r="X33" s="71">
        <f t="shared" si="27"/>
        <v>196.2</v>
      </c>
      <c r="Y33" s="7"/>
      <c r="Z33" s="7"/>
      <c r="AA33" s="7"/>
    </row>
    <row r="34">
      <c r="A34" s="1"/>
      <c r="B34" s="27"/>
      <c r="C34" s="72"/>
      <c r="D34" s="91"/>
      <c r="G34" s="74">
        <f t="shared" ref="G34:L34" si="28">G33/G28</f>
        <v>0.00000004357142857</v>
      </c>
      <c r="H34" s="74">
        <f t="shared" si="28"/>
        <v>0.00000006077586207</v>
      </c>
      <c r="I34" s="74">
        <f t="shared" si="28"/>
        <v>0.00000004364864865</v>
      </c>
      <c r="J34" s="74">
        <f t="shared" si="28"/>
        <v>0.0000000006323809524</v>
      </c>
      <c r="K34" s="74">
        <f t="shared" si="28"/>
        <v>0.000000005897142857</v>
      </c>
      <c r="L34" s="74">
        <f t="shared" si="28"/>
        <v>0.0000000003003115265</v>
      </c>
      <c r="M34" s="2"/>
      <c r="N34" s="27"/>
      <c r="O34" s="72"/>
      <c r="P34" s="74">
        <f t="shared" ref="P34:X34" si="29">P33/P23</f>
        <v>0.000001209039548</v>
      </c>
      <c r="Q34" s="74">
        <f t="shared" si="29"/>
        <v>0.00004086419753</v>
      </c>
      <c r="R34" s="74">
        <f t="shared" si="29"/>
        <v>0.0000005886332882</v>
      </c>
      <c r="S34" s="74">
        <f t="shared" si="29"/>
        <v>0.000003412844037</v>
      </c>
      <c r="T34" s="74">
        <f t="shared" si="29"/>
        <v>0.000001962790698</v>
      </c>
      <c r="U34" s="74">
        <f t="shared" si="29"/>
        <v>0.000007907514451</v>
      </c>
      <c r="V34" s="74">
        <f t="shared" si="29"/>
        <v>0.000002299003322</v>
      </c>
      <c r="W34" s="74">
        <f t="shared" si="29"/>
        <v>0.0000008388888889</v>
      </c>
      <c r="X34" s="74">
        <f t="shared" si="29"/>
        <v>0.000004773722628</v>
      </c>
      <c r="Y34" s="7"/>
      <c r="Z34" s="7"/>
      <c r="AA34" s="7"/>
    </row>
    <row r="35">
      <c r="A35" s="1"/>
      <c r="B35" s="27"/>
      <c r="C35" s="72" t="s">
        <v>39</v>
      </c>
      <c r="D35" s="91"/>
      <c r="G35" s="48">
        <f t="shared" ref="G35:L35" si="30">G33/(G22*40)*1000000000</f>
        <v>62.84114005</v>
      </c>
      <c r="H35" s="49">
        <f t="shared" si="30"/>
        <v>73.66380162</v>
      </c>
      <c r="I35" s="43">
        <f t="shared" si="30"/>
        <v>72.45998275</v>
      </c>
      <c r="J35" s="103">
        <f t="shared" si="30"/>
        <v>3369.629748</v>
      </c>
      <c r="K35" s="49">
        <f t="shared" si="30"/>
        <v>33168.52415</v>
      </c>
      <c r="L35" s="104">
        <f t="shared" si="30"/>
        <v>1977.638377</v>
      </c>
      <c r="M35" s="2"/>
      <c r="N35" s="27"/>
      <c r="O35" s="72" t="s">
        <v>40</v>
      </c>
      <c r="P35" s="76">
        <f t="shared" ref="P35:X35" si="31">P33/(P22*40)*1000000000</f>
        <v>34.33631651</v>
      </c>
      <c r="Q35" s="49">
        <f t="shared" si="31"/>
        <v>102.1472096</v>
      </c>
      <c r="R35" s="77">
        <f t="shared" si="31"/>
        <v>24.56283446</v>
      </c>
      <c r="S35" s="48">
        <f t="shared" si="31"/>
        <v>68.80731338</v>
      </c>
      <c r="T35" s="49">
        <f t="shared" si="31"/>
        <v>36.609375</v>
      </c>
      <c r="U35" s="43">
        <f t="shared" si="31"/>
        <v>181.2581433</v>
      </c>
      <c r="V35" s="49">
        <f t="shared" si="31"/>
        <v>11135.68686</v>
      </c>
      <c r="W35" s="49">
        <f t="shared" si="31"/>
        <v>4859.793978</v>
      </c>
      <c r="X35" s="78">
        <f t="shared" si="31"/>
        <v>10641.12507</v>
      </c>
      <c r="Y35" s="7"/>
      <c r="Z35" s="7"/>
      <c r="AA35" s="7"/>
    </row>
    <row r="36">
      <c r="A36" s="1"/>
      <c r="B36" s="27"/>
      <c r="C36" s="72" t="s">
        <v>33</v>
      </c>
      <c r="D36" s="91"/>
      <c r="G36" s="48">
        <f t="shared" ref="G36:L36" si="32">G33/(G23*40)*1000000000</f>
        <v>56.74418605</v>
      </c>
      <c r="H36" s="49">
        <f t="shared" si="32"/>
        <v>59.49367089</v>
      </c>
      <c r="I36" s="43">
        <f t="shared" si="32"/>
        <v>54.28571429</v>
      </c>
      <c r="J36" s="103">
        <f t="shared" si="32"/>
        <v>2.378223496</v>
      </c>
      <c r="K36" s="49">
        <f t="shared" si="32"/>
        <v>19.72477064</v>
      </c>
      <c r="L36" s="104">
        <f t="shared" si="32"/>
        <v>0.9269230769</v>
      </c>
      <c r="M36" s="2"/>
      <c r="N36" s="27"/>
      <c r="O36" s="72" t="s">
        <v>33</v>
      </c>
      <c r="P36" s="76">
        <f t="shared" ref="P36:X36" si="33">P33/(P23*40)*1000000000</f>
        <v>30.2259887</v>
      </c>
      <c r="Q36" s="49">
        <f t="shared" si="33"/>
        <v>1021.604938</v>
      </c>
      <c r="R36" s="77">
        <f t="shared" si="33"/>
        <v>14.71583221</v>
      </c>
      <c r="S36" s="48">
        <f t="shared" si="33"/>
        <v>85.32110092</v>
      </c>
      <c r="T36" s="49">
        <f t="shared" si="33"/>
        <v>49.06976744</v>
      </c>
      <c r="U36" s="43">
        <f t="shared" si="33"/>
        <v>197.6878613</v>
      </c>
      <c r="V36" s="49">
        <f t="shared" si="33"/>
        <v>57.47508306</v>
      </c>
      <c r="W36" s="49">
        <f t="shared" si="33"/>
        <v>20.97222222</v>
      </c>
      <c r="X36" s="78">
        <f t="shared" si="33"/>
        <v>119.3430657</v>
      </c>
      <c r="Y36" s="7"/>
      <c r="Z36" s="7"/>
      <c r="AA36" s="7"/>
    </row>
    <row r="37">
      <c r="A37" s="1"/>
      <c r="B37" s="27"/>
      <c r="C37" s="72" t="s">
        <v>41</v>
      </c>
      <c r="D37" s="91"/>
      <c r="G37" s="48">
        <f t="shared" ref="G37:L37" si="34">G33/(G28*0.2)*1000000000</f>
        <v>217.8571429</v>
      </c>
      <c r="H37" s="49">
        <f t="shared" si="34"/>
        <v>303.8793103</v>
      </c>
      <c r="I37" s="43">
        <f t="shared" si="34"/>
        <v>218.2432432</v>
      </c>
      <c r="J37" s="103">
        <f t="shared" si="34"/>
        <v>3.161904762</v>
      </c>
      <c r="K37" s="49">
        <f t="shared" si="34"/>
        <v>29.48571429</v>
      </c>
      <c r="L37" s="104">
        <f t="shared" si="34"/>
        <v>1.501557632</v>
      </c>
      <c r="M37" s="2"/>
      <c r="N37" s="27"/>
      <c r="O37" s="79" t="s">
        <v>42</v>
      </c>
      <c r="P37" s="80">
        <f t="shared" ref="P37:X37" si="35">P33/(P28*0.2)*1000000000</f>
        <v>83.37662338</v>
      </c>
      <c r="Q37" s="56">
        <f t="shared" si="35"/>
        <v>1169.611307</v>
      </c>
      <c r="R37" s="81">
        <f t="shared" si="35"/>
        <v>51.29716981</v>
      </c>
      <c r="S37" s="55">
        <f t="shared" si="35"/>
        <v>1094.117647</v>
      </c>
      <c r="T37" s="56">
        <f t="shared" si="35"/>
        <v>157.2670807</v>
      </c>
      <c r="U37" s="57">
        <f t="shared" si="35"/>
        <v>700.8196721</v>
      </c>
      <c r="V37" s="56">
        <f t="shared" si="35"/>
        <v>347.1571906</v>
      </c>
      <c r="W37" s="56">
        <f t="shared" si="35"/>
        <v>81.76895307</v>
      </c>
      <c r="X37" s="58">
        <f t="shared" si="35"/>
        <v>176.1220826</v>
      </c>
      <c r="Y37" s="7"/>
      <c r="Z37" s="7"/>
      <c r="AA37" s="7"/>
    </row>
    <row r="38">
      <c r="A38" s="1"/>
      <c r="B38" s="27"/>
      <c r="C38" s="59" t="s">
        <v>11</v>
      </c>
      <c r="D38" s="97"/>
      <c r="E38" s="98"/>
      <c r="F38" s="105"/>
      <c r="G38" s="61"/>
      <c r="H38" s="106" t="s">
        <v>43</v>
      </c>
      <c r="I38" s="61"/>
      <c r="J38" s="106" t="s">
        <v>44</v>
      </c>
      <c r="K38" s="61"/>
      <c r="L38" s="64"/>
      <c r="M38" s="2"/>
      <c r="N38" s="27"/>
      <c r="O38" s="59" t="s">
        <v>11</v>
      </c>
      <c r="P38" s="65" t="s">
        <v>37</v>
      </c>
      <c r="Q38" s="98"/>
      <c r="R38" s="98"/>
      <c r="S38" s="98"/>
      <c r="T38" s="98"/>
      <c r="U38" s="98"/>
      <c r="V38" s="98"/>
      <c r="W38" s="98"/>
      <c r="X38" s="107"/>
      <c r="Y38" s="7"/>
      <c r="Z38" s="7"/>
      <c r="AA38" s="7"/>
    </row>
    <row r="39">
      <c r="A39" s="1"/>
      <c r="B39" s="82"/>
      <c r="C39" s="108"/>
      <c r="D39" s="109"/>
      <c r="E39" s="110"/>
      <c r="F39" s="111"/>
      <c r="G39" s="112" t="s">
        <v>38</v>
      </c>
      <c r="H39" s="110"/>
      <c r="I39" s="110"/>
      <c r="J39" s="110"/>
      <c r="K39" s="110"/>
      <c r="L39" s="113"/>
      <c r="M39" s="2"/>
      <c r="N39" s="82"/>
      <c r="O39" s="108"/>
      <c r="P39" s="109"/>
      <c r="Q39" s="110"/>
      <c r="R39" s="110"/>
      <c r="S39" s="110"/>
      <c r="T39" s="110"/>
      <c r="U39" s="110"/>
      <c r="V39" s="110"/>
      <c r="W39" s="110"/>
      <c r="X39" s="113"/>
      <c r="Y39" s="7"/>
      <c r="Z39" s="7"/>
      <c r="AA39" s="7"/>
    </row>
    <row r="40">
      <c r="A40" s="1"/>
      <c r="B40" s="8" t="s">
        <v>17</v>
      </c>
      <c r="C40" s="21" t="s">
        <v>21</v>
      </c>
      <c r="D40" s="89"/>
      <c r="E40" s="9"/>
      <c r="F40" s="90"/>
      <c r="G40" s="23">
        <v>2.72843864207879E8</v>
      </c>
      <c r="H40" s="23">
        <v>1.84001454316848E8</v>
      </c>
      <c r="I40" s="24">
        <v>1.76344551550712E8</v>
      </c>
      <c r="J40" s="25">
        <v>2187931.034483</v>
      </c>
      <c r="K40" s="25">
        <v>923793.103448</v>
      </c>
      <c r="L40" s="26">
        <v>826551.724138</v>
      </c>
      <c r="M40" s="2"/>
      <c r="N40" s="8" t="s">
        <v>17</v>
      </c>
      <c r="O40" s="21" t="s">
        <v>21</v>
      </c>
      <c r="P40" s="89"/>
      <c r="Q40" s="9"/>
      <c r="R40" s="90"/>
      <c r="S40" s="22">
        <v>1.67999385515728E8</v>
      </c>
      <c r="T40" s="23">
        <v>1.79956020482809E8</v>
      </c>
      <c r="U40" s="24">
        <v>1.36938127286028E8</v>
      </c>
      <c r="V40" s="114"/>
      <c r="W40" s="9"/>
      <c r="X40" s="10"/>
      <c r="Y40" s="7"/>
      <c r="Z40" s="7"/>
      <c r="AA40" s="7"/>
    </row>
    <row r="41" outlineLevel="1">
      <c r="A41" s="1"/>
      <c r="B41" s="27"/>
      <c r="C41" s="28" t="s">
        <v>22</v>
      </c>
      <c r="D41" s="91"/>
      <c r="F41" s="92"/>
      <c r="G41" s="3">
        <v>3.88E8</v>
      </c>
      <c r="H41" s="3">
        <v>2.82E8</v>
      </c>
      <c r="I41" s="30">
        <v>2.6E8</v>
      </c>
      <c r="J41" s="31">
        <v>1.4E8</v>
      </c>
      <c r="K41" s="31"/>
      <c r="L41" s="32">
        <v>8.1E7</v>
      </c>
      <c r="M41" s="2"/>
      <c r="N41" s="27"/>
      <c r="O41" s="28" t="s">
        <v>22</v>
      </c>
      <c r="P41" s="91"/>
      <c r="R41" s="92"/>
      <c r="S41" s="29">
        <v>2.01E8</v>
      </c>
      <c r="T41" s="3">
        <v>1.06E8</v>
      </c>
      <c r="U41" s="30">
        <v>1.97E8</v>
      </c>
      <c r="X41" s="115"/>
      <c r="Y41" s="7"/>
      <c r="Z41" s="7"/>
      <c r="AA41" s="7"/>
    </row>
    <row r="42">
      <c r="A42" s="1"/>
      <c r="B42" s="27"/>
      <c r="C42" s="28" t="s">
        <v>23</v>
      </c>
      <c r="D42" s="91"/>
      <c r="F42" s="92"/>
      <c r="G42" s="49">
        <f t="shared" ref="G42:J42" si="36">G41/G40*100</f>
        <v>142.2058734</v>
      </c>
      <c r="H42" s="49">
        <f t="shared" si="36"/>
        <v>153.2596582</v>
      </c>
      <c r="I42" s="43">
        <f t="shared" si="36"/>
        <v>147.4386352</v>
      </c>
      <c r="J42" s="44">
        <f t="shared" si="36"/>
        <v>6398.739165</v>
      </c>
      <c r="K42" s="44"/>
      <c r="L42" s="45">
        <f>L41/L40*100</f>
        <v>9799.749687</v>
      </c>
      <c r="M42" s="2"/>
      <c r="N42" s="27"/>
      <c r="O42" s="28" t="s">
        <v>23</v>
      </c>
      <c r="P42" s="91"/>
      <c r="R42" s="92"/>
      <c r="S42" s="34">
        <f t="shared" ref="S42:U42" si="37">S41/S40*100</f>
        <v>119.6432948</v>
      </c>
      <c r="T42" s="35">
        <f t="shared" si="37"/>
        <v>58.90328077</v>
      </c>
      <c r="U42" s="36">
        <f t="shared" si="37"/>
        <v>143.8605916</v>
      </c>
      <c r="X42" s="115"/>
      <c r="Y42" s="7"/>
      <c r="Z42" s="7"/>
      <c r="AA42" s="7"/>
    </row>
    <row r="43" outlineLevel="1">
      <c r="A43" s="1"/>
      <c r="B43" s="27"/>
      <c r="C43" s="28" t="s">
        <v>27</v>
      </c>
      <c r="D43" s="91"/>
      <c r="F43" s="92"/>
      <c r="G43" s="3">
        <v>2.46E10</v>
      </c>
      <c r="H43" s="3">
        <v>2.03E10</v>
      </c>
      <c r="I43" s="30">
        <v>4.16E10</v>
      </c>
      <c r="J43" s="31">
        <v>2.07E10</v>
      </c>
      <c r="K43" s="31">
        <v>6.77E9</v>
      </c>
      <c r="L43" s="32">
        <v>1.39E10</v>
      </c>
      <c r="M43" s="2"/>
      <c r="N43" s="27"/>
      <c r="O43" s="28" t="s">
        <v>27</v>
      </c>
      <c r="P43" s="91"/>
      <c r="R43" s="92"/>
      <c r="S43" s="29">
        <v>5.73E9</v>
      </c>
      <c r="T43" s="3">
        <v>6.7E9</v>
      </c>
      <c r="U43" s="30">
        <v>5.18E9</v>
      </c>
      <c r="X43" s="115"/>
      <c r="Y43" s="7"/>
      <c r="Z43" s="7"/>
      <c r="AA43" s="7"/>
    </row>
    <row r="44">
      <c r="A44" s="1"/>
      <c r="B44" s="27"/>
      <c r="C44" s="28" t="s">
        <v>28</v>
      </c>
      <c r="D44" s="91"/>
      <c r="F44" s="92"/>
      <c r="G44" s="49">
        <f t="shared" ref="G44:L44" si="38">(G43*0.2)/(G40*40)*100</f>
        <v>45.08072789</v>
      </c>
      <c r="H44" s="49">
        <f t="shared" si="38"/>
        <v>55.16260748</v>
      </c>
      <c r="I44" s="43">
        <f t="shared" si="38"/>
        <v>117.9509081</v>
      </c>
      <c r="J44" s="44">
        <f t="shared" si="38"/>
        <v>4730.496454</v>
      </c>
      <c r="K44" s="44">
        <f t="shared" si="38"/>
        <v>3664.240388</v>
      </c>
      <c r="L44" s="45">
        <f t="shared" si="38"/>
        <v>8408.427201</v>
      </c>
      <c r="M44" s="2"/>
      <c r="N44" s="27"/>
      <c r="O44" s="28" t="s">
        <v>28</v>
      </c>
      <c r="P44" s="91"/>
      <c r="R44" s="92"/>
      <c r="S44" s="48">
        <f t="shared" ref="S44:U44" si="39">(S43*0.2)/(S40*40)*100</f>
        <v>17.0536338</v>
      </c>
      <c r="T44" s="49">
        <f t="shared" si="39"/>
        <v>18.61565949</v>
      </c>
      <c r="U44" s="43">
        <f t="shared" si="39"/>
        <v>18.91365138</v>
      </c>
      <c r="X44" s="115"/>
      <c r="Y44" s="7"/>
      <c r="Z44" s="7"/>
      <c r="AA44" s="7"/>
    </row>
    <row r="45">
      <c r="A45" s="1"/>
      <c r="B45" s="27"/>
      <c r="C45" s="50" t="s">
        <v>29</v>
      </c>
      <c r="D45" s="94"/>
      <c r="E45" s="95"/>
      <c r="F45" s="96"/>
      <c r="G45" s="56">
        <f t="shared" ref="G45:J45" si="40">(G43*0.2)/(G41*40)*100</f>
        <v>31.70103093</v>
      </c>
      <c r="H45" s="56">
        <f t="shared" si="40"/>
        <v>35.9929078</v>
      </c>
      <c r="I45" s="57">
        <f t="shared" si="40"/>
        <v>80</v>
      </c>
      <c r="J45" s="56">
        <f t="shared" si="40"/>
        <v>73.92857143</v>
      </c>
      <c r="K45" s="56"/>
      <c r="L45" s="58">
        <f>(L43*0.2)/(L41*40)*100</f>
        <v>85.80246914</v>
      </c>
      <c r="M45" s="2"/>
      <c r="N45" s="27"/>
      <c r="O45" s="50" t="s">
        <v>29</v>
      </c>
      <c r="P45" s="94"/>
      <c r="Q45" s="95"/>
      <c r="R45" s="96"/>
      <c r="S45" s="55">
        <f t="shared" ref="S45:U45" si="41">(S43*0.2)/(S41*40)*100</f>
        <v>14.25373134</v>
      </c>
      <c r="T45" s="56">
        <f t="shared" si="41"/>
        <v>31.60377358</v>
      </c>
      <c r="U45" s="57">
        <f t="shared" si="41"/>
        <v>13.14720812</v>
      </c>
      <c r="V45" s="95"/>
      <c r="W45" s="95"/>
      <c r="X45" s="116"/>
      <c r="Y45" s="7"/>
      <c r="Z45" s="7"/>
      <c r="AA45" s="7"/>
    </row>
    <row r="46" outlineLevel="1">
      <c r="A46" s="1"/>
      <c r="B46" s="27"/>
      <c r="C46" s="59" t="s">
        <v>8</v>
      </c>
      <c r="D46" s="117"/>
      <c r="E46" s="98"/>
      <c r="F46" s="98"/>
      <c r="G46" s="61">
        <v>40.0</v>
      </c>
      <c r="H46" s="61">
        <v>40.0</v>
      </c>
      <c r="I46" s="63">
        <v>40.0</v>
      </c>
      <c r="J46" s="61">
        <v>40.0</v>
      </c>
      <c r="K46" s="61">
        <v>40.0</v>
      </c>
      <c r="L46" s="64">
        <v>40.0</v>
      </c>
      <c r="M46" s="2"/>
      <c r="N46" s="27"/>
      <c r="O46" s="59" t="s">
        <v>8</v>
      </c>
      <c r="P46" s="97"/>
      <c r="Q46" s="98"/>
      <c r="R46" s="98"/>
      <c r="S46" s="60">
        <v>30.0</v>
      </c>
      <c r="T46" s="61">
        <v>30.0</v>
      </c>
      <c r="U46" s="63">
        <v>30.0</v>
      </c>
      <c r="V46" s="117"/>
      <c r="W46" s="98"/>
      <c r="X46" s="107"/>
      <c r="Y46" s="7"/>
      <c r="Z46" s="7"/>
      <c r="AA46" s="7"/>
    </row>
    <row r="47" outlineLevel="1">
      <c r="A47" s="1"/>
      <c r="B47" s="27"/>
      <c r="C47" s="28" t="s">
        <v>9</v>
      </c>
      <c r="G47" s="1">
        <v>25.4</v>
      </c>
      <c r="H47" s="1">
        <v>33.2</v>
      </c>
      <c r="I47" s="19">
        <v>32.4</v>
      </c>
      <c r="J47" s="1">
        <v>7.38</v>
      </c>
      <c r="K47" s="1">
        <v>18.6</v>
      </c>
      <c r="L47" s="20">
        <v>11.3</v>
      </c>
      <c r="M47" s="2"/>
      <c r="N47" s="27"/>
      <c r="O47" s="28" t="s">
        <v>9</v>
      </c>
      <c r="P47" s="91"/>
      <c r="S47" s="66">
        <v>1.03</v>
      </c>
      <c r="T47" s="1">
        <v>18.4</v>
      </c>
      <c r="U47" s="19">
        <v>8.92</v>
      </c>
      <c r="X47" s="115"/>
      <c r="Y47" s="7"/>
      <c r="Z47" s="7"/>
      <c r="AA47" s="7"/>
    </row>
    <row r="48">
      <c r="A48" s="1"/>
      <c r="B48" s="27"/>
      <c r="C48" s="28" t="s">
        <v>30</v>
      </c>
      <c r="G48" s="69">
        <f t="shared" ref="G48:L48" si="42">G47*G46</f>
        <v>1016</v>
      </c>
      <c r="H48" s="69">
        <f t="shared" si="42"/>
        <v>1328</v>
      </c>
      <c r="I48" s="70">
        <f t="shared" si="42"/>
        <v>1296</v>
      </c>
      <c r="J48" s="69">
        <f t="shared" si="42"/>
        <v>295.2</v>
      </c>
      <c r="K48" s="69">
        <f t="shared" si="42"/>
        <v>744</v>
      </c>
      <c r="L48" s="71">
        <f t="shared" si="42"/>
        <v>452</v>
      </c>
      <c r="M48" s="2"/>
      <c r="N48" s="27"/>
      <c r="O48" s="28" t="s">
        <v>30</v>
      </c>
      <c r="P48" s="91"/>
      <c r="S48" s="68">
        <f t="shared" ref="S48:U48" si="43">S47*S46</f>
        <v>30.9</v>
      </c>
      <c r="T48" s="69">
        <f t="shared" si="43"/>
        <v>552</v>
      </c>
      <c r="U48" s="70">
        <f t="shared" si="43"/>
        <v>267.6</v>
      </c>
      <c r="X48" s="115"/>
      <c r="Y48" s="7"/>
      <c r="Z48" s="7"/>
      <c r="AA48" s="7"/>
    </row>
    <row r="49">
      <c r="A49" s="1"/>
      <c r="B49" s="27"/>
      <c r="C49" s="72"/>
      <c r="G49" s="73">
        <f t="shared" ref="G49:L49" si="44">G48/G43</f>
        <v>0.00000004130081301</v>
      </c>
      <c r="H49" s="73">
        <f t="shared" si="44"/>
        <v>0.00000006541871921</v>
      </c>
      <c r="I49" s="73">
        <f t="shared" si="44"/>
        <v>0.00000003115384615</v>
      </c>
      <c r="J49" s="73">
        <f t="shared" si="44"/>
        <v>0.00000001426086957</v>
      </c>
      <c r="K49" s="73">
        <f t="shared" si="44"/>
        <v>0.0000001098966027</v>
      </c>
      <c r="L49" s="73">
        <f t="shared" si="44"/>
        <v>0.00000003251798561</v>
      </c>
      <c r="M49" s="2"/>
      <c r="N49" s="27"/>
      <c r="O49" s="72"/>
      <c r="P49" s="91"/>
      <c r="S49" s="74">
        <f t="shared" ref="S49:U49" si="45">S48/S41</f>
        <v>0.0000001537313433</v>
      </c>
      <c r="T49" s="74">
        <f t="shared" si="45"/>
        <v>0.00000520754717</v>
      </c>
      <c r="U49" s="74">
        <f t="shared" si="45"/>
        <v>0.000001358375635</v>
      </c>
      <c r="X49" s="115"/>
      <c r="Y49" s="7"/>
      <c r="Z49" s="7"/>
      <c r="AA49" s="7"/>
    </row>
    <row r="50">
      <c r="A50" s="1"/>
      <c r="B50" s="27"/>
      <c r="C50" s="72" t="s">
        <v>45</v>
      </c>
      <c r="G50" s="49">
        <f t="shared" ref="G50:L50" si="46">G48/(G40*40)*1000000000</f>
        <v>93.09353565</v>
      </c>
      <c r="H50" s="49">
        <f t="shared" si="46"/>
        <v>180.4333565</v>
      </c>
      <c r="I50" s="43">
        <f t="shared" si="46"/>
        <v>183.7312223</v>
      </c>
      <c r="J50" s="49">
        <f t="shared" si="46"/>
        <v>3373.049645</v>
      </c>
      <c r="K50" s="49">
        <f t="shared" si="46"/>
        <v>20134.3785</v>
      </c>
      <c r="L50" s="78">
        <f t="shared" si="46"/>
        <v>13671.25574</v>
      </c>
      <c r="M50" s="2"/>
      <c r="N50" s="27"/>
      <c r="O50" s="72" t="s">
        <v>46</v>
      </c>
      <c r="P50" s="91"/>
      <c r="S50" s="76">
        <f t="shared" ref="S50:U50" si="47">S48/(S40*40)*1000000000</f>
        <v>4.598231104</v>
      </c>
      <c r="T50" s="49">
        <f t="shared" si="47"/>
        <v>76.68540326</v>
      </c>
      <c r="U50" s="43">
        <f t="shared" si="47"/>
        <v>48.85418059</v>
      </c>
      <c r="X50" s="115"/>
      <c r="Y50" s="7"/>
      <c r="Z50" s="7"/>
      <c r="AA50" s="7"/>
    </row>
    <row r="51">
      <c r="A51" s="1"/>
      <c r="B51" s="27"/>
      <c r="C51" s="72" t="s">
        <v>33</v>
      </c>
      <c r="G51" s="49">
        <f t="shared" ref="G51:J51" si="48">G48/(G41*40)*1000000000</f>
        <v>65.46391753</v>
      </c>
      <c r="H51" s="49">
        <f t="shared" si="48"/>
        <v>117.7304965</v>
      </c>
      <c r="I51" s="43">
        <f t="shared" si="48"/>
        <v>124.6153846</v>
      </c>
      <c r="J51" s="49">
        <f t="shared" si="48"/>
        <v>52.71428571</v>
      </c>
      <c r="K51" s="49"/>
      <c r="L51" s="78">
        <f>L48/(L41*40)*1000000000</f>
        <v>139.5061728</v>
      </c>
      <c r="M51" s="2"/>
      <c r="N51" s="27"/>
      <c r="O51" s="72" t="s">
        <v>33</v>
      </c>
      <c r="P51" s="91"/>
      <c r="S51" s="76">
        <f t="shared" ref="S51:U51" si="49">S48/(S41*40)*1000000000</f>
        <v>3.843283582</v>
      </c>
      <c r="T51" s="49">
        <f t="shared" si="49"/>
        <v>130.1886792</v>
      </c>
      <c r="U51" s="43">
        <f t="shared" si="49"/>
        <v>33.95939086</v>
      </c>
      <c r="X51" s="115"/>
      <c r="Y51" s="7"/>
      <c r="Z51" s="7"/>
      <c r="AA51" s="7"/>
    </row>
    <row r="52">
      <c r="A52" s="1"/>
      <c r="B52" s="27"/>
      <c r="C52" s="72" t="s">
        <v>47</v>
      </c>
      <c r="G52" s="49">
        <f t="shared" ref="G52:L52" si="50">G48/(G43*0.2)*1000000000</f>
        <v>206.504065</v>
      </c>
      <c r="H52" s="49">
        <f t="shared" si="50"/>
        <v>327.0935961</v>
      </c>
      <c r="I52" s="43">
        <f t="shared" si="50"/>
        <v>155.7692308</v>
      </c>
      <c r="J52" s="49">
        <f t="shared" si="50"/>
        <v>71.30434783</v>
      </c>
      <c r="K52" s="49">
        <f t="shared" si="50"/>
        <v>549.4830133</v>
      </c>
      <c r="L52" s="78">
        <f t="shared" si="50"/>
        <v>162.5899281</v>
      </c>
      <c r="M52" s="2"/>
      <c r="N52" s="27"/>
      <c r="O52" s="79" t="s">
        <v>48</v>
      </c>
      <c r="P52" s="91"/>
      <c r="S52" s="80">
        <f t="shared" ref="S52:U52" si="51">S48/(S43*0.2)*1000000000</f>
        <v>26.96335079</v>
      </c>
      <c r="T52" s="56">
        <f t="shared" si="51"/>
        <v>411.9402985</v>
      </c>
      <c r="U52" s="57">
        <f t="shared" si="51"/>
        <v>258.3011583</v>
      </c>
      <c r="X52" s="115"/>
      <c r="Y52" s="7"/>
      <c r="Z52" s="7"/>
      <c r="AA52" s="7"/>
    </row>
    <row r="53">
      <c r="A53" s="1"/>
      <c r="B53" s="27"/>
      <c r="C53" s="59" t="s">
        <v>11</v>
      </c>
      <c r="D53" s="97"/>
      <c r="E53" s="98"/>
      <c r="F53" s="105"/>
      <c r="G53" s="61"/>
      <c r="H53" s="106" t="s">
        <v>49</v>
      </c>
      <c r="I53" s="61"/>
      <c r="J53" s="61"/>
      <c r="K53" s="61"/>
      <c r="L53" s="64"/>
      <c r="M53" s="2"/>
      <c r="N53" s="27"/>
      <c r="O53" s="59" t="s">
        <v>11</v>
      </c>
      <c r="P53" s="118"/>
      <c r="R53" s="92"/>
      <c r="S53" s="65" t="s">
        <v>37</v>
      </c>
      <c r="T53" s="98"/>
      <c r="U53" s="105"/>
      <c r="V53" s="4"/>
      <c r="X53" s="115"/>
      <c r="Y53" s="7"/>
      <c r="Z53" s="7"/>
      <c r="AA53" s="7"/>
    </row>
    <row r="54">
      <c r="A54" s="1"/>
      <c r="B54" s="82"/>
      <c r="C54" s="108"/>
      <c r="D54" s="109"/>
      <c r="E54" s="110"/>
      <c r="F54" s="111"/>
      <c r="G54" s="112" t="s">
        <v>38</v>
      </c>
      <c r="H54" s="110"/>
      <c r="I54" s="110"/>
      <c r="J54" s="110"/>
      <c r="K54" s="110"/>
      <c r="L54" s="113"/>
      <c r="M54" s="2"/>
      <c r="N54" s="82"/>
      <c r="O54" s="108"/>
      <c r="P54" s="109"/>
      <c r="Q54" s="110"/>
      <c r="R54" s="111"/>
      <c r="S54" s="109"/>
      <c r="T54" s="110"/>
      <c r="U54" s="111"/>
      <c r="V54" s="110"/>
      <c r="W54" s="110"/>
      <c r="X54" s="113"/>
      <c r="Y54" s="7"/>
      <c r="Z54" s="7"/>
      <c r="AA54" s="7"/>
    </row>
    <row r="55">
      <c r="A55" s="1"/>
      <c r="B55" s="8" t="s">
        <v>18</v>
      </c>
      <c r="C55" s="28" t="s">
        <v>21</v>
      </c>
      <c r="D55" s="118"/>
      <c r="F55" s="92"/>
      <c r="G55" s="3">
        <v>3.37280391542678E8</v>
      </c>
      <c r="H55" s="3">
        <v>3.40955555990603E8</v>
      </c>
      <c r="I55" s="30">
        <v>2.23454635865309E8</v>
      </c>
      <c r="J55" s="31">
        <v>1191349.538977</v>
      </c>
      <c r="K55" s="31">
        <v>1141709.974853</v>
      </c>
      <c r="L55" s="32">
        <v>794233.025985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7"/>
      <c r="Z55" s="7"/>
      <c r="AA55" s="7"/>
    </row>
    <row r="56" outlineLevel="1">
      <c r="A56" s="1"/>
      <c r="B56" s="27"/>
      <c r="C56" s="28" t="s">
        <v>22</v>
      </c>
      <c r="D56" s="91"/>
      <c r="F56" s="92"/>
      <c r="G56" s="3">
        <v>3.39E8</v>
      </c>
      <c r="H56" s="3">
        <v>3.84E8</v>
      </c>
      <c r="I56" s="30"/>
      <c r="J56" s="31">
        <v>1.8E8</v>
      </c>
      <c r="K56" s="31">
        <v>1.58E8</v>
      </c>
      <c r="L56" s="32">
        <v>2.63E8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7"/>
      <c r="Z56" s="7"/>
      <c r="AA56" s="7"/>
    </row>
    <row r="57">
      <c r="A57" s="1"/>
      <c r="B57" s="27"/>
      <c r="C57" s="28" t="s">
        <v>23</v>
      </c>
      <c r="D57" s="91"/>
      <c r="F57" s="92"/>
      <c r="G57" s="49">
        <f t="shared" ref="G57:H57" si="52">G56/G55*100</f>
        <v>100.5098454</v>
      </c>
      <c r="H57" s="49">
        <f t="shared" si="52"/>
        <v>112.6246495</v>
      </c>
      <c r="I57" s="43"/>
      <c r="J57" s="44">
        <f t="shared" ref="J57:L57" si="53">J56/J55*100</f>
        <v>15108.91591</v>
      </c>
      <c r="K57" s="44">
        <f t="shared" si="53"/>
        <v>13838.89109</v>
      </c>
      <c r="L57" s="45">
        <f t="shared" si="53"/>
        <v>33113.70736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7"/>
      <c r="Z57" s="7"/>
      <c r="AA57" s="7"/>
    </row>
    <row r="58" outlineLevel="1">
      <c r="A58" s="1"/>
      <c r="B58" s="27"/>
      <c r="C58" s="28" t="s">
        <v>24</v>
      </c>
      <c r="D58" s="91"/>
      <c r="F58" s="92"/>
      <c r="G58" s="3">
        <v>1.76E8</v>
      </c>
      <c r="H58" s="3">
        <v>1.79E8</v>
      </c>
      <c r="I58" s="30">
        <v>1.18E8</v>
      </c>
      <c r="J58" s="31"/>
      <c r="K58" s="31">
        <v>284000.0</v>
      </c>
      <c r="L58" s="32">
        <v>552000.0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7"/>
      <c r="Z58" s="7"/>
      <c r="AA58" s="7"/>
    </row>
    <row r="59" outlineLevel="1">
      <c r="A59" s="1"/>
      <c r="B59" s="27"/>
      <c r="C59" s="28" t="s">
        <v>25</v>
      </c>
      <c r="D59" s="91"/>
      <c r="F59" s="92"/>
      <c r="G59" s="49">
        <f t="shared" ref="G59:I59" si="54">G58/G55*100</f>
        <v>52.18210261</v>
      </c>
      <c r="H59" s="49">
        <f t="shared" si="54"/>
        <v>52.49951111</v>
      </c>
      <c r="I59" s="43">
        <f t="shared" si="54"/>
        <v>52.80713893</v>
      </c>
      <c r="J59" s="44"/>
      <c r="K59" s="44">
        <f t="shared" ref="K59:L59" si="55">K58/K55*100</f>
        <v>24.8749688</v>
      </c>
      <c r="L59" s="45">
        <f t="shared" si="55"/>
        <v>69.50101317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7"/>
      <c r="Z59" s="7"/>
      <c r="AA59" s="7"/>
    </row>
    <row r="60" outlineLevel="1">
      <c r="A60" s="1"/>
      <c r="B60" s="27"/>
      <c r="C60" s="28" t="s">
        <v>26</v>
      </c>
      <c r="D60" s="91"/>
      <c r="F60" s="92"/>
      <c r="G60" s="119">
        <f t="shared" ref="G60:I60" si="56">(log(G55)-log(G58))/679</f>
        <v>0.0004160212453</v>
      </c>
      <c r="H60" s="119">
        <f t="shared" si="56"/>
        <v>0.0004121424755</v>
      </c>
      <c r="I60" s="119">
        <f t="shared" si="56"/>
        <v>0.0004084055402</v>
      </c>
      <c r="J60" s="93"/>
      <c r="K60" s="93">
        <f t="shared" ref="K60:L60" si="57">(log(K55)-log(K58))/711</f>
        <v>0.0008498417094</v>
      </c>
      <c r="L60" s="93">
        <f t="shared" si="57"/>
        <v>0.0002222346896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7"/>
      <c r="Z60" s="7"/>
      <c r="AA60" s="7"/>
    </row>
    <row r="61" outlineLevel="1">
      <c r="A61" s="1"/>
      <c r="B61" s="27"/>
      <c r="C61" s="28" t="s">
        <v>27</v>
      </c>
      <c r="D61" s="91"/>
      <c r="F61" s="92"/>
      <c r="G61" s="3">
        <v>1.35E11</v>
      </c>
      <c r="H61" s="3">
        <v>5.05E10</v>
      </c>
      <c r="I61" s="30">
        <v>8.99E10</v>
      </c>
      <c r="J61" s="31">
        <v>4.41E10</v>
      </c>
      <c r="K61" s="31">
        <v>4.22E10</v>
      </c>
      <c r="L61" s="32">
        <v>4.28E10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7"/>
      <c r="Z61" s="7"/>
      <c r="AA61" s="7"/>
    </row>
    <row r="62">
      <c r="A62" s="1"/>
      <c r="B62" s="27"/>
      <c r="C62" s="28" t="s">
        <v>28</v>
      </c>
      <c r="D62" s="91"/>
      <c r="F62" s="92"/>
      <c r="G62" s="49">
        <f t="shared" ref="G62:L62" si="58">(G61*0.2)/(G55*40)*100</f>
        <v>200.1302231</v>
      </c>
      <c r="H62" s="49">
        <f t="shared" si="58"/>
        <v>74.05657294</v>
      </c>
      <c r="I62" s="43">
        <f t="shared" si="58"/>
        <v>201.1593979</v>
      </c>
      <c r="J62" s="44">
        <f t="shared" si="58"/>
        <v>18508.42199</v>
      </c>
      <c r="K62" s="44">
        <f t="shared" si="58"/>
        <v>18481.05076</v>
      </c>
      <c r="L62" s="45">
        <f t="shared" si="58"/>
        <v>26944.23337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7"/>
      <c r="Z62" s="7"/>
      <c r="AA62" s="7"/>
    </row>
    <row r="63">
      <c r="A63" s="1"/>
      <c r="B63" s="27"/>
      <c r="C63" s="50" t="s">
        <v>29</v>
      </c>
      <c r="D63" s="94"/>
      <c r="E63" s="95"/>
      <c r="F63" s="96"/>
      <c r="G63" s="56">
        <f t="shared" ref="G63:H63" si="59">(G61*0.2)/(G56*40)*100</f>
        <v>199.1150442</v>
      </c>
      <c r="H63" s="56">
        <f t="shared" si="59"/>
        <v>65.75520833</v>
      </c>
      <c r="I63" s="57"/>
      <c r="J63" s="56">
        <f t="shared" ref="J63:L63" si="60">(J61*0.2)/(J56*40)*100</f>
        <v>122.5</v>
      </c>
      <c r="K63" s="56">
        <f t="shared" si="60"/>
        <v>133.5443038</v>
      </c>
      <c r="L63" s="58">
        <f t="shared" si="60"/>
        <v>81.36882129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7"/>
      <c r="Z63" s="7"/>
      <c r="AA63" s="7"/>
    </row>
    <row r="64" outlineLevel="1">
      <c r="A64" s="1"/>
      <c r="B64" s="27"/>
      <c r="C64" s="59" t="s">
        <v>8</v>
      </c>
      <c r="D64" s="97"/>
      <c r="E64" s="98"/>
      <c r="F64" s="98"/>
      <c r="G64" s="61">
        <v>40.0</v>
      </c>
      <c r="H64" s="61">
        <v>40.0</v>
      </c>
      <c r="I64" s="63">
        <v>40.0</v>
      </c>
      <c r="J64" s="61">
        <v>40.0</v>
      </c>
      <c r="K64" s="61">
        <v>40.0</v>
      </c>
      <c r="L64" s="64">
        <v>40.0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7"/>
      <c r="Z64" s="7"/>
      <c r="AA64" s="7"/>
    </row>
    <row r="65" outlineLevel="1">
      <c r="A65" s="1"/>
      <c r="B65" s="27"/>
      <c r="C65" s="28" t="s">
        <v>9</v>
      </c>
      <c r="D65" s="91"/>
      <c r="G65" s="1">
        <v>43.1</v>
      </c>
      <c r="H65" s="1">
        <v>23.8</v>
      </c>
      <c r="I65" s="19">
        <v>43.6</v>
      </c>
      <c r="J65" s="1">
        <v>13.0</v>
      </c>
      <c r="K65" s="1">
        <v>8.24</v>
      </c>
      <c r="L65" s="20">
        <v>14.1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7"/>
      <c r="Z65" s="7"/>
      <c r="AA65" s="7"/>
    </row>
    <row r="66">
      <c r="A66" s="1"/>
      <c r="B66" s="27"/>
      <c r="C66" s="28" t="s">
        <v>30</v>
      </c>
      <c r="D66" s="91"/>
      <c r="G66" s="69">
        <f t="shared" ref="G66:L66" si="61">G65*G64</f>
        <v>1724</v>
      </c>
      <c r="H66" s="69">
        <f t="shared" si="61"/>
        <v>952</v>
      </c>
      <c r="I66" s="70">
        <f t="shared" si="61"/>
        <v>1744</v>
      </c>
      <c r="J66" s="69">
        <f t="shared" si="61"/>
        <v>520</v>
      </c>
      <c r="K66" s="69">
        <f t="shared" si="61"/>
        <v>329.6</v>
      </c>
      <c r="L66" s="71">
        <f t="shared" si="61"/>
        <v>564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7"/>
      <c r="Z66" s="7"/>
      <c r="AA66" s="7"/>
    </row>
    <row r="67">
      <c r="A67" s="1"/>
      <c r="B67" s="27"/>
      <c r="C67" s="72"/>
      <c r="D67" s="91"/>
      <c r="G67" s="73">
        <f t="shared" ref="G67:L67" si="62">G66/G61</f>
        <v>0.00000001277037037</v>
      </c>
      <c r="H67" s="73">
        <f t="shared" si="62"/>
        <v>0.00000001885148515</v>
      </c>
      <c r="I67" s="73">
        <f t="shared" si="62"/>
        <v>0.00000001939933259</v>
      </c>
      <c r="J67" s="73">
        <f t="shared" si="62"/>
        <v>0.00000001179138322</v>
      </c>
      <c r="K67" s="73">
        <f t="shared" si="62"/>
        <v>0.00000000781042654</v>
      </c>
      <c r="L67" s="73">
        <f t="shared" si="62"/>
        <v>0.00000001317757009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7"/>
      <c r="Z67" s="7"/>
      <c r="AA67" s="7"/>
    </row>
    <row r="68">
      <c r="A68" s="1"/>
      <c r="B68" s="27"/>
      <c r="C68" s="72" t="s">
        <v>50</v>
      </c>
      <c r="D68" s="91"/>
      <c r="G68" s="49">
        <f t="shared" ref="G68:L68" si="63">G66/(G55*40)*1000000000</f>
        <v>127.7868536</v>
      </c>
      <c r="H68" s="49">
        <f t="shared" si="63"/>
        <v>69.80381924</v>
      </c>
      <c r="I68" s="43">
        <f t="shared" si="63"/>
        <v>195.1179032</v>
      </c>
      <c r="J68" s="49">
        <f t="shared" si="63"/>
        <v>10911.99482</v>
      </c>
      <c r="K68" s="49">
        <f t="shared" si="63"/>
        <v>7217.244468</v>
      </c>
      <c r="L68" s="78">
        <f t="shared" si="63"/>
        <v>17752.97619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7"/>
      <c r="Z68" s="7"/>
      <c r="AA68" s="7"/>
    </row>
    <row r="69">
      <c r="A69" s="1"/>
      <c r="B69" s="27"/>
      <c r="C69" s="72" t="s">
        <v>33</v>
      </c>
      <c r="D69" s="91"/>
      <c r="G69" s="49">
        <f t="shared" ref="G69:H69" si="64">G66/(G56*40)*1000000000</f>
        <v>127.1386431</v>
      </c>
      <c r="H69" s="49">
        <f t="shared" si="64"/>
        <v>61.97916667</v>
      </c>
      <c r="I69" s="43"/>
      <c r="J69" s="49">
        <f t="shared" ref="J69:L69" si="65">J66/(J56*40)*1000000000</f>
        <v>72.22222222</v>
      </c>
      <c r="K69" s="49">
        <f t="shared" si="65"/>
        <v>52.15189873</v>
      </c>
      <c r="L69" s="78">
        <f t="shared" si="65"/>
        <v>53.6121673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7"/>
      <c r="Z69" s="7"/>
      <c r="AA69" s="7"/>
    </row>
    <row r="70">
      <c r="A70" s="1"/>
      <c r="B70" s="27"/>
      <c r="C70" s="79" t="s">
        <v>51</v>
      </c>
      <c r="D70" s="91"/>
      <c r="G70" s="56">
        <f t="shared" ref="G70:L70" si="66">G66/(G61*0.2)*1000000000</f>
        <v>63.85185185</v>
      </c>
      <c r="H70" s="56">
        <f t="shared" si="66"/>
        <v>94.25742574</v>
      </c>
      <c r="I70" s="57">
        <f t="shared" si="66"/>
        <v>96.99666296</v>
      </c>
      <c r="J70" s="56">
        <f t="shared" si="66"/>
        <v>58.9569161</v>
      </c>
      <c r="K70" s="56">
        <f t="shared" si="66"/>
        <v>39.0521327</v>
      </c>
      <c r="L70" s="58">
        <f t="shared" si="66"/>
        <v>65.88785047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7"/>
      <c r="Z70" s="7"/>
      <c r="AA70" s="7"/>
    </row>
    <row r="71">
      <c r="A71" s="1"/>
      <c r="B71" s="82"/>
      <c r="C71" s="83" t="s">
        <v>11</v>
      </c>
      <c r="D71" s="120"/>
      <c r="E71" s="85"/>
      <c r="F71" s="86"/>
      <c r="G71" s="87" t="s">
        <v>38</v>
      </c>
      <c r="H71" s="85"/>
      <c r="I71" s="85"/>
      <c r="J71" s="85"/>
      <c r="K71" s="85"/>
      <c r="L71" s="88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7"/>
      <c r="Z71" s="7"/>
      <c r="AA71" s="7"/>
    </row>
    <row r="72">
      <c r="A72" s="1"/>
      <c r="B72" s="8" t="s">
        <v>19</v>
      </c>
      <c r="C72" s="21" t="s">
        <v>21</v>
      </c>
      <c r="D72" s="89"/>
      <c r="E72" s="9"/>
      <c r="F72" s="90"/>
      <c r="G72" s="23">
        <v>1.26558381858083E9</v>
      </c>
      <c r="H72" s="23">
        <v>7.99708266276518E8</v>
      </c>
      <c r="I72" s="24">
        <v>1.05582285296269E9</v>
      </c>
      <c r="J72" s="25">
        <v>694953.897737</v>
      </c>
      <c r="K72" s="25">
        <v>893512.154233</v>
      </c>
      <c r="L72" s="26">
        <v>1042430.846605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7"/>
      <c r="Z72" s="7"/>
      <c r="AA72" s="7"/>
    </row>
    <row r="73" outlineLevel="1">
      <c r="A73" s="1"/>
      <c r="B73" s="27"/>
      <c r="C73" s="28" t="s">
        <v>22</v>
      </c>
      <c r="D73" s="91"/>
      <c r="F73" s="92"/>
      <c r="G73" s="3">
        <v>8.71E8</v>
      </c>
      <c r="H73" s="3">
        <v>7.0E8</v>
      </c>
      <c r="I73" s="30">
        <v>9.08E8</v>
      </c>
      <c r="J73" s="31">
        <v>6.66E8</v>
      </c>
      <c r="K73" s="31">
        <v>3.09E8</v>
      </c>
      <c r="L73" s="32">
        <v>1.95E8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7"/>
      <c r="Z73" s="7"/>
      <c r="AA73" s="7"/>
    </row>
    <row r="74">
      <c r="A74" s="1"/>
      <c r="B74" s="27"/>
      <c r="C74" s="28" t="s">
        <v>23</v>
      </c>
      <c r="D74" s="91"/>
      <c r="F74" s="92"/>
      <c r="G74" s="49">
        <f t="shared" ref="G74:L74" si="67">G73/G72*100</f>
        <v>68.82199244</v>
      </c>
      <c r="H74" s="49">
        <f t="shared" si="67"/>
        <v>87.53192002</v>
      </c>
      <c r="I74" s="43">
        <f t="shared" si="67"/>
        <v>85.99927511</v>
      </c>
      <c r="J74" s="44">
        <f t="shared" si="67"/>
        <v>95833.69518</v>
      </c>
      <c r="K74" s="44">
        <f t="shared" si="67"/>
        <v>34582.62974</v>
      </c>
      <c r="L74" s="45">
        <f t="shared" si="67"/>
        <v>18706.27684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7"/>
      <c r="Z74" s="7"/>
      <c r="AA74" s="7"/>
    </row>
    <row r="75" outlineLevel="1">
      <c r="A75" s="1"/>
      <c r="B75" s="27"/>
      <c r="C75" s="28" t="s">
        <v>24</v>
      </c>
      <c r="D75" s="91"/>
      <c r="F75" s="92"/>
      <c r="G75" s="3">
        <v>5.84E8</v>
      </c>
      <c r="H75" s="3">
        <v>3.56E8</v>
      </c>
      <c r="I75" s="30"/>
      <c r="J75" s="31"/>
      <c r="K75" s="31"/>
      <c r="L75" s="3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7"/>
      <c r="Z75" s="7"/>
      <c r="AA75" s="7"/>
    </row>
    <row r="76" outlineLevel="1">
      <c r="A76" s="1"/>
      <c r="B76" s="27"/>
      <c r="C76" s="28" t="s">
        <v>52</v>
      </c>
      <c r="D76" s="91"/>
      <c r="F76" s="92"/>
      <c r="G76" s="49">
        <f t="shared" ref="G76:H76" si="68">G75/G72*100</f>
        <v>46.14471135</v>
      </c>
      <c r="H76" s="49">
        <f t="shared" si="68"/>
        <v>44.51623361</v>
      </c>
      <c r="I76" s="30"/>
      <c r="J76" s="31"/>
      <c r="K76" s="31"/>
      <c r="L76" s="3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7"/>
      <c r="Z76" s="7"/>
      <c r="AA76" s="7"/>
    </row>
    <row r="77" outlineLevel="1">
      <c r="A77" s="1"/>
      <c r="B77" s="27"/>
      <c r="C77" s="28" t="s">
        <v>26</v>
      </c>
      <c r="D77" s="91"/>
      <c r="F77" s="92"/>
      <c r="G77" s="119">
        <f t="shared" ref="G77:H77" si="69">(log(G72)-log(G75))/669</f>
        <v>0.0005020598898</v>
      </c>
      <c r="H77" s="119">
        <f t="shared" si="69"/>
        <v>0.0005253835384</v>
      </c>
      <c r="I77" s="30"/>
      <c r="J77" s="31"/>
      <c r="K77" s="31"/>
      <c r="L77" s="3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7"/>
      <c r="Z77" s="7"/>
      <c r="AA77" s="7"/>
    </row>
    <row r="78" outlineLevel="1">
      <c r="A78" s="1"/>
      <c r="B78" s="27"/>
      <c r="C78" s="28" t="s">
        <v>27</v>
      </c>
      <c r="D78" s="91"/>
      <c r="F78" s="92"/>
      <c r="G78" s="3">
        <v>7.2E10</v>
      </c>
      <c r="H78" s="3">
        <v>2.01E10</v>
      </c>
      <c r="I78" s="30">
        <v>2.68E10</v>
      </c>
      <c r="J78" s="31">
        <v>1.39E11</v>
      </c>
      <c r="K78" s="31">
        <v>3.23E10</v>
      </c>
      <c r="L78" s="32">
        <v>1.37E10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7"/>
      <c r="Z78" s="7"/>
      <c r="AA78" s="7"/>
    </row>
    <row r="79">
      <c r="A79" s="1"/>
      <c r="B79" s="27"/>
      <c r="C79" s="28" t="s">
        <v>28</v>
      </c>
      <c r="D79" s="91"/>
      <c r="F79" s="92"/>
      <c r="G79" s="49">
        <f t="shared" ref="G79:L79" si="70">(G78*0.2)/(G72*40)*100</f>
        <v>28.44537001</v>
      </c>
      <c r="H79" s="49">
        <f t="shared" si="70"/>
        <v>12.5670828</v>
      </c>
      <c r="I79" s="43">
        <f t="shared" si="70"/>
        <v>12.69152298</v>
      </c>
      <c r="J79" s="44">
        <f t="shared" si="70"/>
        <v>100006.6339</v>
      </c>
      <c r="K79" s="44">
        <f t="shared" si="70"/>
        <v>18074.74014</v>
      </c>
      <c r="L79" s="45">
        <f t="shared" si="70"/>
        <v>6571.179299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7"/>
      <c r="Z79" s="7"/>
      <c r="AA79" s="7"/>
    </row>
    <row r="80">
      <c r="A80" s="1"/>
      <c r="B80" s="27"/>
      <c r="C80" s="50" t="s">
        <v>29</v>
      </c>
      <c r="D80" s="94"/>
      <c r="E80" s="95"/>
      <c r="F80" s="96"/>
      <c r="G80" s="56">
        <f t="shared" ref="G80:L80" si="71">(G78*0.2)/(G73*40)*100</f>
        <v>41.33180253</v>
      </c>
      <c r="H80" s="56">
        <f t="shared" si="71"/>
        <v>14.35714286</v>
      </c>
      <c r="I80" s="57">
        <f t="shared" si="71"/>
        <v>14.75770925</v>
      </c>
      <c r="J80" s="56">
        <f t="shared" si="71"/>
        <v>104.3543544</v>
      </c>
      <c r="K80" s="56">
        <f t="shared" si="71"/>
        <v>52.26537217</v>
      </c>
      <c r="L80" s="58">
        <f t="shared" si="71"/>
        <v>35.12820513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7"/>
      <c r="Z80" s="7"/>
      <c r="AA80" s="7"/>
    </row>
    <row r="81" outlineLevel="1">
      <c r="A81" s="1"/>
      <c r="B81" s="27"/>
      <c r="C81" s="59" t="s">
        <v>8</v>
      </c>
      <c r="D81" s="97"/>
      <c r="E81" s="98"/>
      <c r="F81" s="98"/>
      <c r="G81" s="61">
        <v>40.0</v>
      </c>
      <c r="H81" s="61">
        <v>40.0</v>
      </c>
      <c r="I81" s="63">
        <v>40.0</v>
      </c>
      <c r="J81" s="61">
        <v>40.0</v>
      </c>
      <c r="K81" s="99">
        <v>40.0</v>
      </c>
      <c r="L81" s="64">
        <v>40.0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7"/>
      <c r="Z81" s="7"/>
      <c r="AA81" s="7"/>
    </row>
    <row r="82" outlineLevel="1">
      <c r="A82" s="1"/>
      <c r="B82" s="27"/>
      <c r="C82" s="28" t="s">
        <v>9</v>
      </c>
      <c r="D82" s="91"/>
      <c r="G82" s="1">
        <v>71.0</v>
      </c>
      <c r="H82" s="1">
        <v>125.0</v>
      </c>
      <c r="I82" s="19">
        <v>103.0</v>
      </c>
      <c r="J82" s="1">
        <v>6.74</v>
      </c>
      <c r="K82" s="101">
        <v>0.866</v>
      </c>
      <c r="L82" s="20">
        <v>14.9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7"/>
      <c r="Z82" s="7"/>
      <c r="AA82" s="7"/>
    </row>
    <row r="83">
      <c r="A83" s="1"/>
      <c r="B83" s="27"/>
      <c r="C83" s="28" t="s">
        <v>30</v>
      </c>
      <c r="D83" s="91"/>
      <c r="G83" s="69">
        <f t="shared" ref="G83:L83" si="72">G82*G81</f>
        <v>2840</v>
      </c>
      <c r="H83" s="69">
        <f t="shared" si="72"/>
        <v>5000</v>
      </c>
      <c r="I83" s="70">
        <f t="shared" si="72"/>
        <v>4120</v>
      </c>
      <c r="J83" s="69">
        <f t="shared" si="72"/>
        <v>269.6</v>
      </c>
      <c r="K83" s="69">
        <f t="shared" si="72"/>
        <v>34.64</v>
      </c>
      <c r="L83" s="71">
        <f t="shared" si="72"/>
        <v>596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7"/>
      <c r="Z83" s="7"/>
      <c r="AA83" s="7"/>
    </row>
    <row r="84">
      <c r="A84" s="1"/>
      <c r="B84" s="27"/>
      <c r="C84" s="72"/>
      <c r="D84" s="91"/>
      <c r="G84" s="73">
        <f t="shared" ref="G84:L84" si="73">G83/G73</f>
        <v>0.000003260619977</v>
      </c>
      <c r="H84" s="73">
        <f t="shared" si="73"/>
        <v>0.000007142857143</v>
      </c>
      <c r="I84" s="73">
        <f t="shared" si="73"/>
        <v>0.000004537444934</v>
      </c>
      <c r="J84" s="73">
        <f t="shared" si="73"/>
        <v>0.0000004048048048</v>
      </c>
      <c r="K84" s="73">
        <f t="shared" si="73"/>
        <v>0.0000001121035599</v>
      </c>
      <c r="L84" s="73">
        <f t="shared" si="73"/>
        <v>0.000003056410256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7"/>
      <c r="Z84" s="7"/>
      <c r="AA84" s="7"/>
    </row>
    <row r="85">
      <c r="A85" s="1"/>
      <c r="B85" s="27"/>
      <c r="C85" s="72" t="s">
        <v>53</v>
      </c>
      <c r="D85" s="91"/>
      <c r="G85" s="49">
        <f t="shared" ref="G85:L85" si="74">G83/(G72*40)*1000000000</f>
        <v>56.10059086</v>
      </c>
      <c r="H85" s="49">
        <f t="shared" si="74"/>
        <v>156.307</v>
      </c>
      <c r="I85" s="43">
        <f t="shared" si="74"/>
        <v>97.55424379</v>
      </c>
      <c r="J85" s="49">
        <f t="shared" si="74"/>
        <v>9698.485068</v>
      </c>
      <c r="K85" s="103">
        <f t="shared" si="74"/>
        <v>969.2089759</v>
      </c>
      <c r="L85" s="78">
        <f t="shared" si="74"/>
        <v>14293.5141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7"/>
      <c r="Z85" s="7"/>
      <c r="AA85" s="7"/>
    </row>
    <row r="86">
      <c r="A86" s="1"/>
      <c r="B86" s="27"/>
      <c r="C86" s="72" t="s">
        <v>33</v>
      </c>
      <c r="D86" s="91"/>
      <c r="G86" s="49">
        <f t="shared" ref="G86:L86" si="75">G83/(G73*40)*1000000000</f>
        <v>81.51549943</v>
      </c>
      <c r="H86" s="49">
        <f t="shared" si="75"/>
        <v>178.5714286</v>
      </c>
      <c r="I86" s="43">
        <f t="shared" si="75"/>
        <v>113.4361233</v>
      </c>
      <c r="J86" s="49">
        <f t="shared" si="75"/>
        <v>10.12012012</v>
      </c>
      <c r="K86" s="103">
        <f t="shared" si="75"/>
        <v>2.802588997</v>
      </c>
      <c r="L86" s="78">
        <f t="shared" si="75"/>
        <v>76.41025641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7"/>
      <c r="Z86" s="7"/>
      <c r="AA86" s="7"/>
    </row>
    <row r="87">
      <c r="A87" s="1"/>
      <c r="B87" s="27"/>
      <c r="C87" s="79" t="s">
        <v>54</v>
      </c>
      <c r="D87" s="91"/>
      <c r="G87" s="56">
        <f t="shared" ref="G87:L87" si="76">G83/(G78*0.2)*1000000000</f>
        <v>197.2222222</v>
      </c>
      <c r="H87" s="56">
        <f t="shared" si="76"/>
        <v>1243.781095</v>
      </c>
      <c r="I87" s="57">
        <f t="shared" si="76"/>
        <v>768.6567164</v>
      </c>
      <c r="J87" s="56">
        <f t="shared" si="76"/>
        <v>9.697841727</v>
      </c>
      <c r="K87" s="121">
        <f t="shared" si="76"/>
        <v>5.362229102</v>
      </c>
      <c r="L87" s="58">
        <f t="shared" si="76"/>
        <v>217.5182482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7"/>
      <c r="Z87" s="7"/>
      <c r="AA87" s="7"/>
    </row>
    <row r="88">
      <c r="A88" s="1"/>
      <c r="B88" s="82"/>
      <c r="C88" s="83" t="s">
        <v>11</v>
      </c>
      <c r="D88" s="120"/>
      <c r="E88" s="85"/>
      <c r="F88" s="86"/>
      <c r="G88" s="87" t="s">
        <v>38</v>
      </c>
      <c r="H88" s="85"/>
      <c r="I88" s="85"/>
      <c r="J88" s="85"/>
      <c r="K88" s="85"/>
      <c r="L88" s="88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7"/>
      <c r="Z88" s="7"/>
      <c r="AA88" s="7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7"/>
      <c r="Z89" s="7"/>
      <c r="AA89" s="7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7"/>
      <c r="Z90" s="7"/>
      <c r="AA90" s="7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7"/>
      <c r="Z91" s="7"/>
      <c r="AA91" s="7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7"/>
      <c r="Z92" s="7"/>
      <c r="AA92" s="7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7"/>
      <c r="Z93" s="7"/>
      <c r="AA93" s="7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7"/>
      <c r="Z94" s="7"/>
      <c r="AA94" s="7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7"/>
      <c r="Z95" s="7"/>
      <c r="AA95" s="7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7"/>
      <c r="Z96" s="7"/>
      <c r="AA96" s="7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7"/>
      <c r="Z97" s="7"/>
      <c r="AA97" s="7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7"/>
      <c r="Z98" s="7"/>
      <c r="AA98" s="7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7"/>
      <c r="Z99" s="7"/>
      <c r="AA99" s="7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7"/>
      <c r="Z100" s="7"/>
      <c r="AA100" s="7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7"/>
      <c r="Z101" s="7"/>
      <c r="AA101" s="7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7"/>
      <c r="Z102" s="7"/>
      <c r="AA102" s="7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7"/>
      <c r="Z103" s="7"/>
      <c r="AA103" s="7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</sheetData>
  <mergeCells count="47">
    <mergeCell ref="B2:L2"/>
    <mergeCell ref="N2:X2"/>
    <mergeCell ref="G3:I3"/>
    <mergeCell ref="J3:L3"/>
    <mergeCell ref="P3:R3"/>
    <mergeCell ref="S3:U3"/>
    <mergeCell ref="V3:X3"/>
    <mergeCell ref="N5:N21"/>
    <mergeCell ref="N22:N39"/>
    <mergeCell ref="N40:N54"/>
    <mergeCell ref="D3:F3"/>
    <mergeCell ref="B5:B21"/>
    <mergeCell ref="D21:F21"/>
    <mergeCell ref="G21:L21"/>
    <mergeCell ref="P21:X21"/>
    <mergeCell ref="B22:B39"/>
    <mergeCell ref="D22:F30"/>
    <mergeCell ref="G39:L39"/>
    <mergeCell ref="P53:R54"/>
    <mergeCell ref="S53:U54"/>
    <mergeCell ref="G54:L54"/>
    <mergeCell ref="O38:O39"/>
    <mergeCell ref="P38:X39"/>
    <mergeCell ref="P40:R45"/>
    <mergeCell ref="V40:X45"/>
    <mergeCell ref="P46:R52"/>
    <mergeCell ref="V46:X52"/>
    <mergeCell ref="O53:O54"/>
    <mergeCell ref="V53:X54"/>
    <mergeCell ref="B40:B54"/>
    <mergeCell ref="B55:B71"/>
    <mergeCell ref="B72:B88"/>
    <mergeCell ref="D55:F63"/>
    <mergeCell ref="D64:F70"/>
    <mergeCell ref="D71:F71"/>
    <mergeCell ref="G71:L71"/>
    <mergeCell ref="D72:F80"/>
    <mergeCell ref="D81:F87"/>
    <mergeCell ref="D88:F88"/>
    <mergeCell ref="G88:L88"/>
    <mergeCell ref="D31:F37"/>
    <mergeCell ref="C38:C39"/>
    <mergeCell ref="D38:F39"/>
    <mergeCell ref="D40:F45"/>
    <mergeCell ref="D46:F52"/>
    <mergeCell ref="C53:C54"/>
    <mergeCell ref="D53:F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4.63"/>
  </cols>
  <sheetData>
    <row r="1">
      <c r="A1" s="122" t="s">
        <v>55</v>
      </c>
      <c r="B1" s="122" t="s">
        <v>56</v>
      </c>
      <c r="C1" s="122" t="s">
        <v>57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22">
        <v>98.0</v>
      </c>
      <c r="B2" s="122">
        <v>263.0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3">
        <v>1.18E7</v>
      </c>
      <c r="B3" s="123">
        <v>7.27E7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22" t="s">
        <v>58</v>
      </c>
      <c r="B4" s="122" t="s">
        <v>59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22" t="s">
        <v>60</v>
      </c>
      <c r="B5" s="122" t="s">
        <v>61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2" t="s">
        <v>62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">
        <v>63</v>
      </c>
      <c r="B1" s="122" t="s">
        <v>64</v>
      </c>
      <c r="C1" s="122" t="s">
        <v>65</v>
      </c>
    </row>
    <row r="2">
      <c r="A2" s="124">
        <v>57.72442588726514</v>
      </c>
      <c r="B2" s="124">
        <v>27.73722627737226</v>
      </c>
      <c r="C2" s="124">
        <v>59.375</v>
      </c>
    </row>
    <row r="3">
      <c r="A3" s="124">
        <v>75.0</v>
      </c>
      <c r="B3" s="124">
        <v>18.927789934354486</v>
      </c>
      <c r="C3" s="124">
        <v>68.68686868686868</v>
      </c>
    </row>
    <row r="4">
      <c r="A4" s="124">
        <v>43.35142469470828</v>
      </c>
      <c r="B4" s="124">
        <v>20.3601108033241</v>
      </c>
      <c r="C4" s="124">
        <v>43.944636678200695</v>
      </c>
    </row>
    <row r="5">
      <c r="A5" s="124">
        <v>26.478679504814306</v>
      </c>
      <c r="B5" s="124">
        <v>62.5</v>
      </c>
      <c r="C5" s="124">
        <v>15.0</v>
      </c>
    </row>
    <row r="6">
      <c r="A6" s="124">
        <v>45.258620689655174</v>
      </c>
      <c r="B6" s="124">
        <v>76.04166666666666</v>
      </c>
      <c r="C6" s="124">
        <v>13.75770020533881</v>
      </c>
    </row>
    <row r="7">
      <c r="A7" s="124">
        <v>67.84037558685446</v>
      </c>
      <c r="B7" s="124">
        <v>26.48401826484018</v>
      </c>
      <c r="C7" s="124">
        <v>16.40625</v>
      </c>
    </row>
    <row r="8">
      <c r="A8" s="124">
        <v>36.25235404896422</v>
      </c>
      <c r="B8" s="124">
        <v>26.046511627906977</v>
      </c>
      <c r="C8" s="124">
        <v>75.21489971346705</v>
      </c>
    </row>
    <row r="9">
      <c r="A9" s="124">
        <v>87.34567901234568</v>
      </c>
      <c r="B9" s="124">
        <v>19.57805907172996</v>
      </c>
      <c r="C9" s="124">
        <v>66.89602446483181</v>
      </c>
    </row>
    <row r="10">
      <c r="A10" s="124">
        <v>28.68741542625169</v>
      </c>
      <c r="B10" s="124">
        <v>24.873949579831933</v>
      </c>
      <c r="C10" s="124">
        <v>61.73076923076923</v>
      </c>
    </row>
    <row r="11">
      <c r="B11" s="124">
        <v>7.79816513761468</v>
      </c>
      <c r="C11" s="124">
        <v>16.555924695459577</v>
      </c>
    </row>
    <row r="12">
      <c r="B12" s="124">
        <v>31.2015503875969</v>
      </c>
      <c r="C12" s="124">
        <v>25.64814814814815</v>
      </c>
    </row>
    <row r="13">
      <c r="B13" s="124">
        <v>28.208092485549134</v>
      </c>
      <c r="C13" s="124">
        <v>67.76155717761557</v>
      </c>
    </row>
    <row r="14">
      <c r="B14" s="124">
        <v>31.70103092783505</v>
      </c>
      <c r="C14" s="124">
        <v>73.92857142857143</v>
      </c>
      <c r="F14" s="124"/>
    </row>
    <row r="15">
      <c r="B15" s="124">
        <v>35.99290780141844</v>
      </c>
      <c r="C15" s="124">
        <v>85.80246913580247</v>
      </c>
    </row>
    <row r="16">
      <c r="B16" s="124">
        <v>80.0</v>
      </c>
      <c r="C16" s="124">
        <v>122.50000000000001</v>
      </c>
    </row>
    <row r="17">
      <c r="B17" s="124">
        <v>14.253731343283583</v>
      </c>
      <c r="C17" s="124">
        <v>133.54430379746836</v>
      </c>
    </row>
    <row r="18">
      <c r="B18" s="124">
        <v>31.60377358490566</v>
      </c>
      <c r="C18" s="124">
        <v>81.36882129277566</v>
      </c>
    </row>
    <row r="19">
      <c r="B19" s="124">
        <v>13.147208121827411</v>
      </c>
      <c r="C19" s="124">
        <v>104.35435435435436</v>
      </c>
    </row>
    <row r="20">
      <c r="B20" s="124">
        <v>199.1150442477876</v>
      </c>
      <c r="C20" s="124">
        <v>52.265372168284784</v>
      </c>
      <c r="D20" s="124"/>
    </row>
    <row r="21">
      <c r="B21" s="124">
        <v>65.75520833333334</v>
      </c>
      <c r="C21" s="124">
        <v>35.128205128205124</v>
      </c>
    </row>
    <row r="22">
      <c r="B22" s="124">
        <v>41.33180252583238</v>
      </c>
    </row>
    <row r="23">
      <c r="B23" s="124">
        <v>14.357142857142858</v>
      </c>
    </row>
    <row r="24">
      <c r="B24" s="124">
        <v>14.757709251101323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">
        <v>63</v>
      </c>
      <c r="B1" s="122" t="s">
        <v>64</v>
      </c>
      <c r="C1" s="122" t="s">
        <v>65</v>
      </c>
    </row>
    <row r="2">
      <c r="A2" s="125">
        <v>1.0415913200723326E-8</v>
      </c>
      <c r="B2" s="125">
        <v>4.631578947368421E-8</v>
      </c>
      <c r="C2" s="125">
        <v>9.19298245614035E-9</v>
      </c>
    </row>
    <row r="3">
      <c r="A3" s="125">
        <v>2.3829787234042553E-8</v>
      </c>
      <c r="B3" s="125">
        <v>2.4739884393063582E-8</v>
      </c>
      <c r="C3" s="125">
        <v>2.2941176470588235E-8</v>
      </c>
    </row>
    <row r="4">
      <c r="A4" s="125">
        <v>1.1830985915492956E-8</v>
      </c>
      <c r="B4" s="125">
        <v>1.730612244897959E-7</v>
      </c>
      <c r="C4" s="125">
        <v>1.3574803149606297E-9</v>
      </c>
    </row>
    <row r="5">
      <c r="A5" s="125">
        <v>7.4493506493506495E-9</v>
      </c>
      <c r="B5" s="125">
        <v>1.0747826086956522E-8</v>
      </c>
      <c r="C5" s="125">
        <v>9.829787234042553E-9</v>
      </c>
    </row>
    <row r="6">
      <c r="A6" s="125">
        <v>2.2057142857142857E-8</v>
      </c>
      <c r="B6" s="125">
        <v>5.616438356164383E-9</v>
      </c>
      <c r="C6" s="125">
        <v>3.4477611940298505E-8</v>
      </c>
    </row>
    <row r="7">
      <c r="A7" s="125">
        <v>2.927335640138408E-8</v>
      </c>
      <c r="B7" s="125">
        <v>3.7241379310344826E-8</v>
      </c>
      <c r="C7" s="125">
        <v>4.7142857142857145E-9</v>
      </c>
    </row>
    <row r="8">
      <c r="A8" s="125">
        <v>1.209039548022599E-6</v>
      </c>
      <c r="B8" s="125">
        <v>4.3571428571428574E-8</v>
      </c>
      <c r="C8" s="125">
        <v>6.323809523809523E-10</v>
      </c>
    </row>
    <row r="9">
      <c r="A9" s="125">
        <v>4.08641975308642E-5</v>
      </c>
      <c r="B9" s="125">
        <v>6.077586206896552E-8</v>
      </c>
      <c r="C9" s="125">
        <v>5.8971428571428575E-9</v>
      </c>
    </row>
    <row r="10">
      <c r="A10" s="125">
        <v>5.886332882273342E-7</v>
      </c>
      <c r="B10" s="125">
        <v>4.364864864864864E-8</v>
      </c>
      <c r="C10" s="125">
        <v>3.003115264797508E-10</v>
      </c>
    </row>
    <row r="11">
      <c r="B11" s="125">
        <v>3.4128440366972477E-6</v>
      </c>
      <c r="C11" s="125">
        <v>2.299003322259136E-6</v>
      </c>
    </row>
    <row r="12">
      <c r="B12" s="125">
        <v>1.9627906976744183E-6</v>
      </c>
      <c r="C12" s="125">
        <v>8.388888888888888E-7</v>
      </c>
    </row>
    <row r="13">
      <c r="B13" s="125">
        <v>7.907514450867052E-6</v>
      </c>
      <c r="C13" s="125">
        <v>4.773722627737226E-6</v>
      </c>
    </row>
    <row r="14">
      <c r="B14" s="125">
        <v>4.1300813008130084E-8</v>
      </c>
      <c r="C14" s="125">
        <v>1.426086956521739E-8</v>
      </c>
    </row>
    <row r="15">
      <c r="B15" s="125">
        <v>6.541871921182266E-8</v>
      </c>
      <c r="C15" s="125">
        <v>1.0989660265878878E-7</v>
      </c>
    </row>
    <row r="16">
      <c r="B16" s="125">
        <v>3.115384615384616E-8</v>
      </c>
      <c r="C16" s="125">
        <v>3.251798561151079E-8</v>
      </c>
    </row>
    <row r="17">
      <c r="B17" s="125">
        <v>1.537313432835821E-7</v>
      </c>
      <c r="C17" s="125">
        <v>1.1791383219954648E-8</v>
      </c>
    </row>
    <row r="18">
      <c r="B18" s="125">
        <v>5.20754716981132E-6</v>
      </c>
      <c r="C18" s="125">
        <v>7.810426540284361E-9</v>
      </c>
    </row>
    <row r="19">
      <c r="B19" s="125">
        <v>1.3583756345177666E-6</v>
      </c>
      <c r="C19" s="125">
        <v>1.3177570093457944E-8</v>
      </c>
    </row>
    <row r="20">
      <c r="B20" s="125">
        <v>1.277037037037037E-8</v>
      </c>
      <c r="C20" s="125">
        <v>4.0480480480480484E-7</v>
      </c>
    </row>
    <row r="21">
      <c r="B21" s="125">
        <v>1.8851485148514853E-8</v>
      </c>
      <c r="C21" s="125">
        <v>1.1210355987055017E-7</v>
      </c>
    </row>
    <row r="22">
      <c r="B22" s="125">
        <v>1.939933259176863E-8</v>
      </c>
      <c r="C22" s="125">
        <v>3.0564102564102566E-6</v>
      </c>
    </row>
    <row r="23">
      <c r="B23" s="125">
        <v>3.2606199770378875E-6</v>
      </c>
    </row>
    <row r="24">
      <c r="B24" s="125">
        <v>7.142857142857143E-6</v>
      </c>
    </row>
    <row r="25">
      <c r="B25" s="125">
        <v>4.537444933920705E-6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6" t="s">
        <v>63</v>
      </c>
      <c r="B1" s="126" t="s">
        <v>64</v>
      </c>
      <c r="C1" s="126" t="s">
        <v>65</v>
      </c>
    </row>
    <row r="2">
      <c r="A2" s="127">
        <v>114.0</v>
      </c>
      <c r="B2" s="127">
        <v>23.0</v>
      </c>
      <c r="C2" s="127">
        <v>256.0</v>
      </c>
    </row>
    <row r="3">
      <c r="A3" s="127">
        <v>183.0</v>
      </c>
      <c r="B3" s="127">
        <v>15.0</v>
      </c>
      <c r="C3" s="127">
        <v>266.0</v>
      </c>
    </row>
    <row r="4">
      <c r="A4" s="127">
        <v>126.0</v>
      </c>
      <c r="B4" s="127">
        <v>15.0</v>
      </c>
      <c r="C4" s="127">
        <v>247.0</v>
      </c>
    </row>
    <row r="5">
      <c r="A5" s="127">
        <v>83.0</v>
      </c>
      <c r="B5" s="127">
        <v>7.0</v>
      </c>
      <c r="C5" s="127">
        <v>110.0</v>
      </c>
    </row>
    <row r="6">
      <c r="A6" s="127">
        <v>110.0</v>
      </c>
      <c r="B6" s="127">
        <v>8.0</v>
      </c>
      <c r="C6" s="127">
        <v>102.0</v>
      </c>
    </row>
    <row r="7">
      <c r="A7" s="127">
        <v>119.0</v>
      </c>
      <c r="B7" s="127">
        <v>12.0</v>
      </c>
      <c r="C7" s="127">
        <v>47.0</v>
      </c>
    </row>
    <row r="8">
      <c r="A8" s="127">
        <v>22.0</v>
      </c>
      <c r="B8" s="128">
        <v>22.0</v>
      </c>
      <c r="C8" s="128">
        <v>17.0</v>
      </c>
    </row>
    <row r="9">
      <c r="A9" s="127">
        <v>14.0</v>
      </c>
      <c r="B9" s="128">
        <v>18.0</v>
      </c>
      <c r="C9" s="128">
        <v>7.0</v>
      </c>
    </row>
    <row r="10">
      <c r="A10" s="127">
        <v>83.0</v>
      </c>
      <c r="B10" s="128">
        <v>38.0</v>
      </c>
      <c r="C10" s="128">
        <v>11.0</v>
      </c>
    </row>
    <row r="11">
      <c r="B11" s="127">
        <v>129.0</v>
      </c>
      <c r="C11" s="127">
        <v>40.0</v>
      </c>
    </row>
    <row r="12">
      <c r="B12" s="127">
        <v>59.0</v>
      </c>
      <c r="C12" s="127">
        <v>35.0</v>
      </c>
    </row>
    <row r="13">
      <c r="B13" s="127">
        <v>80.0</v>
      </c>
      <c r="C13" s="127">
        <v>35.0</v>
      </c>
    </row>
    <row r="14">
      <c r="B14" s="127">
        <v>70.0</v>
      </c>
      <c r="C14" s="127">
        <v>136.0</v>
      </c>
    </row>
    <row r="15">
      <c r="B15" s="127">
        <v>25.0</v>
      </c>
      <c r="C15" s="127">
        <v>32.0</v>
      </c>
    </row>
    <row r="16">
      <c r="B16" s="127">
        <v>28.0</v>
      </c>
      <c r="C16" s="127">
        <v>18.0</v>
      </c>
    </row>
    <row r="17">
      <c r="B17" s="127">
        <v>301.0</v>
      </c>
      <c r="C17" s="127">
        <v>309.0</v>
      </c>
    </row>
    <row r="18">
      <c r="B18" s="127">
        <v>313.0</v>
      </c>
      <c r="C18" s="127">
        <v>301.0</v>
      </c>
    </row>
    <row r="19">
      <c r="B19" s="127">
        <v>212.0</v>
      </c>
      <c r="C19" s="127">
        <v>307.0</v>
      </c>
    </row>
    <row r="20">
      <c r="B20" s="127">
        <v>37.0</v>
      </c>
      <c r="C20" s="127">
        <v>58.0</v>
      </c>
    </row>
    <row r="21">
      <c r="B21" s="127">
        <v>154.0</v>
      </c>
      <c r="C21" s="127">
        <v>105.0</v>
      </c>
    </row>
    <row r="22">
      <c r="B22" s="127">
        <v>197.0</v>
      </c>
      <c r="C22" s="127">
        <v>121.0</v>
      </c>
    </row>
    <row r="23">
      <c r="B23" s="128">
        <v>114.0</v>
      </c>
    </row>
    <row r="24">
      <c r="B24" s="128">
        <v>135.0</v>
      </c>
    </row>
    <row r="25">
      <c r="B25" s="128">
        <v>9.0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6" t="s">
        <v>63</v>
      </c>
      <c r="B1" s="129" t="s">
        <v>64</v>
      </c>
      <c r="C1" s="129" t="s">
        <v>65</v>
      </c>
    </row>
    <row r="2">
      <c r="A2" s="127">
        <v>24.0</v>
      </c>
      <c r="B2" s="127">
        <v>180.0</v>
      </c>
      <c r="C2" s="127">
        <v>323.0</v>
      </c>
    </row>
    <row r="3">
      <c r="A3" s="127">
        <v>28.0</v>
      </c>
      <c r="B3" s="127">
        <v>229.0</v>
      </c>
      <c r="C3" s="127">
        <v>345.0</v>
      </c>
    </row>
    <row r="4">
      <c r="A4" s="127">
        <v>18.0</v>
      </c>
      <c r="B4" s="127">
        <v>180.0</v>
      </c>
      <c r="C4" s="127">
        <v>323.0</v>
      </c>
    </row>
    <row r="5">
      <c r="A5" s="127">
        <v>18.0</v>
      </c>
      <c r="B5" s="127">
        <v>101.0</v>
      </c>
      <c r="C5" s="127">
        <v>312.0</v>
      </c>
    </row>
    <row r="6">
      <c r="A6" s="127">
        <v>15.0</v>
      </c>
      <c r="B6" s="127">
        <v>105.0</v>
      </c>
      <c r="C6" s="127">
        <v>318.0</v>
      </c>
    </row>
    <row r="7">
      <c r="A7" s="127">
        <v>11.0</v>
      </c>
      <c r="B7" s="127">
        <v>54.0</v>
      </c>
      <c r="C7" s="127">
        <v>281.0</v>
      </c>
    </row>
    <row r="8">
      <c r="A8" s="127">
        <f>(17+4)/2</f>
        <v>10.5</v>
      </c>
      <c r="B8" s="127">
        <v>181.0</v>
      </c>
      <c r="C8" s="127">
        <v>56.0</v>
      </c>
    </row>
    <row r="9">
      <c r="A9" s="127">
        <f>(7+2)/2</f>
        <v>4.5</v>
      </c>
      <c r="B9" s="127">
        <v>139.0</v>
      </c>
      <c r="C9" s="127">
        <v>38.0</v>
      </c>
    </row>
    <row r="10">
      <c r="A10" s="127">
        <v>19.0</v>
      </c>
      <c r="B10" s="127">
        <v>136.0</v>
      </c>
      <c r="C10" s="127">
        <v>81.0</v>
      </c>
    </row>
    <row r="11">
      <c r="B11" s="127">
        <v>172.0</v>
      </c>
      <c r="C11" s="127">
        <v>78.0</v>
      </c>
    </row>
    <row r="12">
      <c r="B12" s="127">
        <v>156.0</v>
      </c>
      <c r="C12" s="127">
        <v>113.0</v>
      </c>
    </row>
    <row r="13">
      <c r="B13" s="127">
        <v>313.0</v>
      </c>
      <c r="C13" s="127">
        <v>308.0</v>
      </c>
    </row>
    <row r="14">
      <c r="B14" s="127">
        <v>304.0</v>
      </c>
      <c r="C14" s="127">
        <v>132.0</v>
      </c>
    </row>
    <row r="15">
      <c r="B15" s="127">
        <v>305.0</v>
      </c>
      <c r="C15" s="127">
        <v>82.0</v>
      </c>
    </row>
    <row r="16">
      <c r="B16" s="127">
        <v>55.0</v>
      </c>
      <c r="C16" s="127">
        <v>159.0</v>
      </c>
    </row>
    <row r="17">
      <c r="B17" s="127">
        <v>40.0</v>
      </c>
      <c r="C17" s="127">
        <v>153.0</v>
      </c>
    </row>
    <row r="18">
      <c r="B18" s="127">
        <v>67.0</v>
      </c>
      <c r="C18" s="127">
        <v>151.0</v>
      </c>
    </row>
    <row r="19">
      <c r="B19" s="127">
        <v>39.0</v>
      </c>
      <c r="C19" s="127">
        <v>29.0</v>
      </c>
    </row>
    <row r="20">
      <c r="B20" s="127">
        <v>37.0</v>
      </c>
      <c r="C20" s="127">
        <v>26.0</v>
      </c>
    </row>
    <row r="21">
      <c r="B21" s="127">
        <v>47.0</v>
      </c>
      <c r="C21" s="127">
        <f>(11+12)/2</f>
        <v>11.5</v>
      </c>
    </row>
    <row r="22">
      <c r="B22" s="127">
        <v>59.0</v>
      </c>
    </row>
    <row r="23">
      <c r="B23" s="127">
        <v>32.0</v>
      </c>
    </row>
    <row r="24">
      <c r="B24" s="127">
        <v>47.0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">
        <v>63</v>
      </c>
      <c r="B1" s="122" t="s">
        <v>64</v>
      </c>
      <c r="C1" s="122" t="s">
        <v>65</v>
      </c>
    </row>
    <row r="2">
      <c r="A2" s="127">
        <v>308.0</v>
      </c>
      <c r="B2" s="127">
        <v>237.0</v>
      </c>
      <c r="C2" s="127">
        <v>264.0</v>
      </c>
    </row>
    <row r="3">
      <c r="A3" s="127">
        <v>277.0</v>
      </c>
      <c r="B3" s="127">
        <v>408.0</v>
      </c>
      <c r="C3" s="127">
        <v>250.0</v>
      </c>
    </row>
    <row r="4">
      <c r="A4" s="127">
        <v>301.0</v>
      </c>
      <c r="B4" s="127">
        <v>204.0</v>
      </c>
      <c r="C4" s="127">
        <v>225.0</v>
      </c>
    </row>
    <row r="5">
      <c r="A5" s="127">
        <v>288.0</v>
      </c>
      <c r="B5" s="127">
        <v>219.0</v>
      </c>
      <c r="C5" s="127">
        <v>196.0</v>
      </c>
    </row>
    <row r="6">
      <c r="A6" s="127">
        <v>251.0</v>
      </c>
      <c r="B6" s="127">
        <v>239.0</v>
      </c>
      <c r="C6" s="127">
        <v>212.0</v>
      </c>
    </row>
    <row r="7">
      <c r="A7" s="127">
        <v>259.0</v>
      </c>
      <c r="B7" s="127">
        <v>358.0</v>
      </c>
      <c r="C7" s="127">
        <v>237.0</v>
      </c>
    </row>
    <row r="8">
      <c r="A8" s="127">
        <v>476.0</v>
      </c>
      <c r="B8" s="128">
        <v>253.0</v>
      </c>
      <c r="C8" s="128">
        <v>247.0</v>
      </c>
    </row>
    <row r="9">
      <c r="A9" s="127">
        <v>408.0</v>
      </c>
      <c r="B9" s="128">
        <v>275.0</v>
      </c>
      <c r="C9" s="128">
        <v>362.0</v>
      </c>
    </row>
    <row r="10">
      <c r="A10" s="127">
        <v>329.0</v>
      </c>
      <c r="B10" s="128">
        <v>287.0</v>
      </c>
      <c r="C10" s="128">
        <v>167.0</v>
      </c>
    </row>
    <row r="11">
      <c r="B11" s="127">
        <v>224.0</v>
      </c>
      <c r="C11" s="127">
        <v>225.0</v>
      </c>
    </row>
    <row r="12">
      <c r="B12" s="127">
        <v>261.0</v>
      </c>
      <c r="C12" s="127">
        <v>204.0</v>
      </c>
    </row>
    <row r="13">
      <c r="B13" s="127">
        <v>228.0</v>
      </c>
      <c r="C13" s="127">
        <v>286.0</v>
      </c>
    </row>
    <row r="14">
      <c r="B14" s="127">
        <v>209.0</v>
      </c>
      <c r="C14" s="127">
        <v>198.0</v>
      </c>
    </row>
    <row r="15">
      <c r="B15" s="127">
        <v>164.0</v>
      </c>
      <c r="C15" s="127">
        <v>239.0</v>
      </c>
    </row>
    <row r="16">
      <c r="B16" s="127">
        <v>198.0</v>
      </c>
      <c r="C16" s="127">
        <v>195.0</v>
      </c>
    </row>
    <row r="17">
      <c r="B17" s="127">
        <v>340.0</v>
      </c>
      <c r="C17" s="127">
        <v>261.0</v>
      </c>
    </row>
    <row r="18">
      <c r="B18" s="127">
        <v>397.0</v>
      </c>
      <c r="C18" s="127">
        <v>318.0</v>
      </c>
    </row>
    <row r="19">
      <c r="B19" s="127">
        <v>285.0</v>
      </c>
      <c r="C19" s="127">
        <v>248.0</v>
      </c>
    </row>
    <row r="20">
      <c r="B20" s="127">
        <v>169.0</v>
      </c>
      <c r="C20" s="127">
        <v>231.0</v>
      </c>
    </row>
    <row r="21">
      <c r="B21" s="127">
        <v>353.0</v>
      </c>
      <c r="C21" s="127">
        <v>291.0</v>
      </c>
    </row>
    <row r="22">
      <c r="B22" s="127">
        <v>296.0</v>
      </c>
      <c r="C22" s="127">
        <v>287.0</v>
      </c>
    </row>
    <row r="23">
      <c r="B23" s="128">
        <v>313.0</v>
      </c>
    </row>
    <row r="24">
      <c r="B24" s="128">
        <v>335.0</v>
      </c>
    </row>
    <row r="25">
      <c r="B25" s="128">
        <v>314.0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">
        <v>63</v>
      </c>
      <c r="B1" s="122" t="s">
        <v>64</v>
      </c>
      <c r="C1" s="122" t="s">
        <v>65</v>
      </c>
    </row>
    <row r="2">
      <c r="A2" s="130">
        <v>223.0</v>
      </c>
      <c r="B2" s="130">
        <v>187.0</v>
      </c>
      <c r="C2" s="130">
        <v>239.0</v>
      </c>
    </row>
    <row r="3">
      <c r="A3" s="130">
        <v>231.0</v>
      </c>
      <c r="B3" s="130">
        <v>182.0</v>
      </c>
      <c r="C3" s="130">
        <v>236.0</v>
      </c>
    </row>
    <row r="4">
      <c r="A4" s="128">
        <v>264.0</v>
      </c>
      <c r="B4" s="128">
        <v>202.0</v>
      </c>
      <c r="C4" s="128">
        <v>247.0</v>
      </c>
    </row>
    <row r="5">
      <c r="A5" s="127">
        <v>215.0</v>
      </c>
      <c r="B5" s="127">
        <v>194.0</v>
      </c>
      <c r="C5" s="127">
        <v>202.0</v>
      </c>
    </row>
    <row r="6">
      <c r="A6" s="127">
        <v>225.0</v>
      </c>
      <c r="B6" s="127">
        <v>179.0</v>
      </c>
      <c r="C6" s="127">
        <v>197.0</v>
      </c>
    </row>
    <row r="7">
      <c r="A7" s="127">
        <v>292.0</v>
      </c>
      <c r="B7" s="127">
        <v>205.0</v>
      </c>
      <c r="C7" s="127">
        <v>194.0</v>
      </c>
    </row>
    <row r="8">
      <c r="A8" s="127">
        <f>(193+195)/2</f>
        <v>194</v>
      </c>
      <c r="B8" s="127">
        <v>176.0</v>
      </c>
      <c r="C8" s="127">
        <v>236.0</v>
      </c>
    </row>
    <row r="9">
      <c r="A9" s="127">
        <f>(660+176)/2</f>
        <v>418</v>
      </c>
      <c r="B9" s="127">
        <v>181.0</v>
      </c>
      <c r="C9" s="127">
        <v>191.0</v>
      </c>
    </row>
    <row r="10">
      <c r="A10" s="127">
        <v>230.0</v>
      </c>
      <c r="B10" s="127">
        <v>210.0</v>
      </c>
      <c r="C10" s="127">
        <v>244.0</v>
      </c>
    </row>
    <row r="11">
      <c r="B11" s="127">
        <v>174.0</v>
      </c>
      <c r="C11" s="127">
        <v>190.0</v>
      </c>
    </row>
    <row r="12">
      <c r="B12" s="127">
        <v>180.0</v>
      </c>
      <c r="C12" s="127">
        <v>223.0</v>
      </c>
    </row>
    <row r="13">
      <c r="B13" s="127">
        <v>179.0</v>
      </c>
      <c r="C13" s="127">
        <v>211.0</v>
      </c>
    </row>
    <row r="14">
      <c r="B14" s="127">
        <v>178.0</v>
      </c>
      <c r="C14" s="127">
        <v>203.0</v>
      </c>
    </row>
    <row r="15">
      <c r="B15" s="127">
        <v>183.0</v>
      </c>
      <c r="C15" s="127">
        <v>229.0</v>
      </c>
    </row>
    <row r="16">
      <c r="B16" s="127">
        <v>20.0</v>
      </c>
      <c r="C16" s="127">
        <v>213.0</v>
      </c>
    </row>
    <row r="17">
      <c r="B17" s="127">
        <v>187.0</v>
      </c>
      <c r="C17" s="127">
        <v>234.0</v>
      </c>
    </row>
    <row r="18">
      <c r="B18" s="127">
        <v>173.0</v>
      </c>
      <c r="C18" s="127">
        <v>213.0</v>
      </c>
    </row>
    <row r="19">
      <c r="B19" s="127">
        <v>183.0</v>
      </c>
      <c r="C19" s="127">
        <v>337.0</v>
      </c>
    </row>
    <row r="20">
      <c r="B20" s="127">
        <v>191.0</v>
      </c>
      <c r="C20" s="127">
        <v>273.0</v>
      </c>
    </row>
    <row r="21">
      <c r="B21" s="127">
        <v>185.0</v>
      </c>
      <c r="C21" s="127">
        <f>(450+251)/2</f>
        <v>350.5</v>
      </c>
    </row>
    <row r="22">
      <c r="B22" s="127">
        <v>201.0</v>
      </c>
    </row>
    <row r="23">
      <c r="B23" s="127">
        <v>254.0</v>
      </c>
    </row>
    <row r="24">
      <c r="B24" s="127">
        <v>298.0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/>
      <c r="B1" s="122">
        <v>20.0</v>
      </c>
      <c r="C1" s="7"/>
      <c r="D1" s="7"/>
      <c r="E1" s="122"/>
      <c r="F1" s="122">
        <v>26.0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122"/>
      <c r="B2" s="122" t="s">
        <v>66</v>
      </c>
      <c r="C2" s="122" t="s">
        <v>67</v>
      </c>
      <c r="D2" s="122" t="s">
        <v>68</v>
      </c>
      <c r="E2" s="122" t="s">
        <v>69</v>
      </c>
      <c r="F2" s="122" t="s">
        <v>66</v>
      </c>
      <c r="G2" s="122" t="s">
        <v>67</v>
      </c>
      <c r="H2" s="122" t="s">
        <v>68</v>
      </c>
      <c r="I2" s="122" t="s">
        <v>69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122" t="s">
        <v>5</v>
      </c>
      <c r="B3" s="122">
        <v>187.0</v>
      </c>
      <c r="C3" s="122">
        <v>182.0</v>
      </c>
      <c r="D3" s="122">
        <v>202.0</v>
      </c>
      <c r="E3" s="131">
        <f t="shared" ref="E3:E7" si="1">AVERAGE(B3:D3)</f>
        <v>190.3333333</v>
      </c>
      <c r="F3" s="122">
        <v>239.0</v>
      </c>
      <c r="G3" s="122">
        <v>236.0</v>
      </c>
      <c r="H3" s="122">
        <v>247.0</v>
      </c>
      <c r="I3" s="132">
        <f t="shared" ref="I3:I7" si="2">AVERAGE(F3:H3)</f>
        <v>240.6666667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122" t="s">
        <v>13</v>
      </c>
      <c r="B4" s="122">
        <v>194.0</v>
      </c>
      <c r="C4" s="122">
        <v>179.0</v>
      </c>
      <c r="D4" s="122">
        <v>205.0</v>
      </c>
      <c r="E4" s="131">
        <f t="shared" si="1"/>
        <v>192.6666667</v>
      </c>
      <c r="F4" s="122">
        <v>202.0</v>
      </c>
      <c r="G4" s="122">
        <v>197.0</v>
      </c>
      <c r="H4" s="122">
        <v>194.0</v>
      </c>
      <c r="I4" s="132">
        <f t="shared" si="2"/>
        <v>197.6666667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122" t="s">
        <v>17</v>
      </c>
      <c r="B5" s="122">
        <v>176.0</v>
      </c>
      <c r="C5" s="122">
        <v>181.0</v>
      </c>
      <c r="D5" s="122">
        <v>210.0</v>
      </c>
      <c r="E5" s="122">
        <f t="shared" si="1"/>
        <v>189</v>
      </c>
      <c r="F5" s="122">
        <v>236.0</v>
      </c>
      <c r="G5" s="122"/>
      <c r="H5" s="122">
        <v>190.0</v>
      </c>
      <c r="I5" s="7">
        <f t="shared" si="2"/>
        <v>213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122" t="s">
        <v>18</v>
      </c>
      <c r="B6" s="122">
        <v>174.0</v>
      </c>
      <c r="C6" s="122">
        <v>180.0</v>
      </c>
      <c r="D6" s="7"/>
      <c r="E6" s="122">
        <f t="shared" si="1"/>
        <v>177</v>
      </c>
      <c r="F6" s="122">
        <v>244.0</v>
      </c>
      <c r="G6" s="122">
        <v>190.0</v>
      </c>
      <c r="H6" s="122">
        <v>223.0</v>
      </c>
      <c r="I6" s="7">
        <f t="shared" si="2"/>
        <v>219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122" t="s">
        <v>19</v>
      </c>
      <c r="B7" s="122">
        <v>179.0</v>
      </c>
      <c r="C7" s="122">
        <v>178.0</v>
      </c>
      <c r="D7" s="122">
        <v>183.0</v>
      </c>
      <c r="E7" s="122">
        <f t="shared" si="1"/>
        <v>180</v>
      </c>
      <c r="F7" s="122">
        <v>211.0</v>
      </c>
      <c r="G7" s="122">
        <v>203.0</v>
      </c>
      <c r="H7" s="122">
        <v>229.0</v>
      </c>
      <c r="I7" s="132">
        <f t="shared" si="2"/>
        <v>214.3333333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122" t="s">
        <v>70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122" t="s">
        <v>71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122" t="s">
        <v>72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">
        <v>64</v>
      </c>
      <c r="B1" s="122" t="s">
        <v>65</v>
      </c>
    </row>
    <row r="2">
      <c r="A2" s="133">
        <v>5.102345368077729E-4</v>
      </c>
      <c r="B2" s="133">
        <v>0.001697861633367016</v>
      </c>
    </row>
    <row r="3">
      <c r="A3" s="133">
        <v>4.16021245282988E-4</v>
      </c>
      <c r="B3" s="133">
        <v>2.23987465076438E-4</v>
      </c>
    </row>
    <row r="4">
      <c r="A4" s="133">
        <v>4.121424754633626E-4</v>
      </c>
      <c r="B4" s="133">
        <v>3.838613938336347E-4</v>
      </c>
    </row>
    <row r="5">
      <c r="A5" s="133">
        <v>4.084055402115541E-4</v>
      </c>
      <c r="B5" s="133">
        <v>8.498417093577706E-4</v>
      </c>
    </row>
    <row r="6">
      <c r="A6" s="133">
        <v>5.020598898394566E-4</v>
      </c>
      <c r="B6" s="133">
        <v>2.222346896057852E-4</v>
      </c>
    </row>
    <row r="7">
      <c r="A7" s="133">
        <v>5.253835384192449E-4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4" t="s">
        <v>73</v>
      </c>
      <c r="B1" s="134" t="s">
        <v>74</v>
      </c>
    </row>
    <row r="2">
      <c r="A2" s="135">
        <v>2.23E8</v>
      </c>
      <c r="B2" s="135">
        <v>1.18E8</v>
      </c>
    </row>
    <row r="3">
      <c r="A3" s="135">
        <v>3.41E8</v>
      </c>
      <c r="B3" s="135">
        <v>1.79E8</v>
      </c>
    </row>
    <row r="4">
      <c r="A4" s="135">
        <v>4.29E8</v>
      </c>
      <c r="B4" s="135">
        <v>1.86E8</v>
      </c>
    </row>
    <row r="5">
      <c r="A5" s="135">
        <v>8.0E8</v>
      </c>
      <c r="B5" s="135">
        <v>3.56E8</v>
      </c>
    </row>
    <row r="6">
      <c r="A6" s="135">
        <v>1.27E9</v>
      </c>
      <c r="B6" s="135">
        <v>5.84E8</v>
      </c>
    </row>
    <row r="7">
      <c r="A7" s="135">
        <v>3.37E8</v>
      </c>
      <c r="B7" s="135">
        <v>1.76E8</v>
      </c>
    </row>
    <row r="8">
      <c r="A8" s="135">
        <v>794000.0</v>
      </c>
      <c r="B8" s="135">
        <v>552000.0</v>
      </c>
    </row>
    <row r="9">
      <c r="A9" s="135">
        <v>4960000.0</v>
      </c>
      <c r="B9" s="135">
        <v>289000.0</v>
      </c>
    </row>
    <row r="10">
      <c r="A10" s="135">
        <v>1140000.0</v>
      </c>
      <c r="B10" s="135">
        <v>284000.0</v>
      </c>
    </row>
    <row r="11">
      <c r="A11" s="135">
        <v>389000.0</v>
      </c>
      <c r="B11" s="135">
        <v>206000.0</v>
      </c>
    </row>
    <row r="12">
      <c r="A12" s="135">
        <v>493000.0</v>
      </c>
      <c r="B12" s="135">
        <v>340000.0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2.5"/>
  </cols>
  <sheetData>
    <row r="1">
      <c r="A1" s="126" t="s">
        <v>75</v>
      </c>
      <c r="B1" s="126" t="s">
        <v>76</v>
      </c>
      <c r="C1" s="126" t="s">
        <v>77</v>
      </c>
      <c r="D1" s="126" t="s">
        <v>78</v>
      </c>
      <c r="E1" s="126" t="s">
        <v>79</v>
      </c>
      <c r="F1" s="126" t="s">
        <v>80</v>
      </c>
      <c r="G1" s="126" t="s">
        <v>81</v>
      </c>
      <c r="H1" s="126" t="s">
        <v>82</v>
      </c>
      <c r="I1" s="126" t="s">
        <v>83</v>
      </c>
      <c r="J1" s="126" t="s">
        <v>84</v>
      </c>
      <c r="K1" s="126" t="s">
        <v>85</v>
      </c>
      <c r="L1" s="126" t="s">
        <v>86</v>
      </c>
      <c r="O1" s="126"/>
      <c r="P1" s="126"/>
      <c r="Q1" s="126"/>
      <c r="R1" s="126"/>
      <c r="S1" s="126"/>
    </row>
    <row r="2">
      <c r="A2" s="136">
        <v>1000000.0</v>
      </c>
      <c r="B2" s="136">
        <v>1000000.0</v>
      </c>
      <c r="C2" s="136">
        <v>1000000.0</v>
      </c>
      <c r="D2" s="136">
        <v>1000000.0</v>
      </c>
      <c r="E2" s="136">
        <v>1000000.0</v>
      </c>
      <c r="F2" s="136">
        <v>1000000.0</v>
      </c>
      <c r="G2" s="136">
        <v>1000000.0</v>
      </c>
      <c r="H2" s="136">
        <v>1000000.0</v>
      </c>
      <c r="I2" s="136">
        <v>1000000.0</v>
      </c>
      <c r="J2" s="136">
        <v>1000000.0</v>
      </c>
      <c r="K2" s="136">
        <v>1000000.0</v>
      </c>
      <c r="L2" s="136">
        <v>1000000.0</v>
      </c>
      <c r="M2" s="137"/>
    </row>
    <row r="3">
      <c r="A3" s="137">
        <f>AVERAGE(Virus!D5:F5)</f>
        <v>57797622.53</v>
      </c>
      <c r="B3" s="137">
        <f>AVERAGE(Virus!D6:F6)</f>
        <v>59333333.33</v>
      </c>
      <c r="C3" s="137">
        <f>AVERAGE(Virus!G5:I5)</f>
        <v>467731034.5</v>
      </c>
      <c r="D3" s="137">
        <f>AVERAGE(Virus!G6:I6)</f>
        <v>409666666.7</v>
      </c>
      <c r="E3" s="137">
        <f>AVERAGE(Virus!J5:L5)</f>
        <v>4370308.145</v>
      </c>
      <c r="F3" s="137">
        <f>AVERAGE(Virus!J6:L6)</f>
        <v>2263333333</v>
      </c>
      <c r="G3" s="137">
        <f>AVERAGE(Virus!P5:R5)</f>
        <v>57280563.38</v>
      </c>
      <c r="H3" s="137">
        <f>AVERAGE(Virus!P6:R6)</f>
        <v>57766666.67</v>
      </c>
      <c r="I3" s="137">
        <f>AVERAGE(Virus!S5:U5)</f>
        <v>341747323.9</v>
      </c>
      <c r="J3" s="137">
        <f>AVERAGE(Virus!S6:U6)</f>
        <v>182333333.3</v>
      </c>
      <c r="K3" s="137">
        <f>AVERAGE(Virus!V5:X5)</f>
        <v>4310922.94</v>
      </c>
      <c r="L3" s="137">
        <f>AVERAGE(Virus!V6:X6)</f>
        <v>489666666.7</v>
      </c>
      <c r="M3" s="137"/>
    </row>
    <row r="4">
      <c r="A4" s="137"/>
      <c r="B4" s="137"/>
      <c r="C4" s="137">
        <f>AVERAGE(Virus!G22:I22)</f>
        <v>158234383.9</v>
      </c>
      <c r="D4" s="137">
        <f>AVERAGE(Virus!G23:I23)</f>
        <v>190333333.3</v>
      </c>
      <c r="E4" s="137">
        <f>AVERAGE(Virus!J22:L22)</f>
        <v>375094.5709</v>
      </c>
      <c r="F4" s="137">
        <f>AVERAGE(Virus!J23:L23)</f>
        <v>624000000</v>
      </c>
      <c r="G4" s="137">
        <f>AVERAGE(Virus!P22:R22)</f>
        <v>46541346.01</v>
      </c>
      <c r="H4" s="137">
        <f>AVERAGE(Virus!P23:R23)</f>
        <v>43953333.33</v>
      </c>
      <c r="I4" s="137">
        <f>AVERAGE(Virus!S22:U22)</f>
        <v>165582586.4</v>
      </c>
      <c r="J4" s="137">
        <f>AVERAGE(Virus!S23:U23)</f>
        <v>137000000</v>
      </c>
      <c r="K4" s="137">
        <f>AVERAGE(Virus!V22:X22)</f>
        <v>464361.9267</v>
      </c>
      <c r="L4" s="137">
        <f>AVERAGE(Virus!V23:X23)</f>
        <v>79800000</v>
      </c>
      <c r="M4" s="137"/>
    </row>
    <row r="5">
      <c r="A5" s="137"/>
      <c r="B5" s="137"/>
      <c r="C5" s="137">
        <f>AVERAGE(Virus!G40:I40)</f>
        <v>211063290</v>
      </c>
      <c r="D5" s="137">
        <f>AVERAGE(Virus!G41:I41)</f>
        <v>310000000</v>
      </c>
      <c r="E5" s="137">
        <f>AVERAGE(Virus!J40:L40)</f>
        <v>1312758.621</v>
      </c>
      <c r="F5" s="137">
        <f>AVERAGE(Virus!J41:L41)</f>
        <v>110500000</v>
      </c>
      <c r="G5" s="137"/>
      <c r="H5" s="137"/>
      <c r="I5" s="137">
        <f>AVERAGE(Virus!S40:U40)</f>
        <v>161631177.8</v>
      </c>
      <c r="J5" s="137">
        <f>AVERAGE(Virus!S41:U41)</f>
        <v>168000000</v>
      </c>
      <c r="K5" s="137"/>
      <c r="L5" s="137"/>
      <c r="M5" s="137"/>
    </row>
    <row r="6">
      <c r="A6" s="137"/>
      <c r="B6" s="137"/>
      <c r="C6" s="137">
        <f>AVERAGE(Virus!G55:I55)</f>
        <v>300563527.8</v>
      </c>
      <c r="D6" s="137">
        <f>AVERAGE(Virus!G56:I56)</f>
        <v>361500000</v>
      </c>
      <c r="E6" s="137">
        <f>AVERAGE(Virus!J55:L55)</f>
        <v>1042430.847</v>
      </c>
      <c r="F6" s="137">
        <f>AVERAGE(Virus!J56:L56)</f>
        <v>200333333.3</v>
      </c>
      <c r="G6" s="137"/>
      <c r="H6" s="137"/>
      <c r="I6" s="137"/>
      <c r="J6" s="137"/>
      <c r="K6" s="137"/>
      <c r="L6" s="137"/>
      <c r="M6" s="137"/>
    </row>
    <row r="7">
      <c r="A7" s="137"/>
      <c r="B7" s="137"/>
      <c r="C7" s="137">
        <f>AVERAGE(Virus!G72:I72)</f>
        <v>1040371646</v>
      </c>
      <c r="D7" s="137">
        <f>AVERAGE(Virus!G73:I73)</f>
        <v>826333333.3</v>
      </c>
      <c r="E7" s="137">
        <f>AVERAGE(Virus!J72:L72)</f>
        <v>876965.6329</v>
      </c>
      <c r="F7" s="137">
        <f>AVERAGE(Virus!J73:L73)</f>
        <v>390000000</v>
      </c>
      <c r="G7" s="137"/>
      <c r="H7" s="137"/>
      <c r="I7" s="137"/>
      <c r="J7" s="137"/>
      <c r="K7" s="137"/>
      <c r="L7" s="137"/>
      <c r="M7" s="137"/>
    </row>
    <row r="15">
      <c r="A15" s="137"/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</row>
    <row r="16">
      <c r="A16" s="137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</row>
    <row r="17">
      <c r="A17" s="137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</row>
    <row r="18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</row>
    <row r="19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2" t="s">
        <v>87</v>
      </c>
      <c r="B1" s="122" t="s">
        <v>88</v>
      </c>
      <c r="C1" s="122" t="s">
        <v>89</v>
      </c>
      <c r="D1" s="122" t="s">
        <v>90</v>
      </c>
      <c r="E1" s="122" t="s">
        <v>91</v>
      </c>
      <c r="F1" s="122" t="s">
        <v>92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23">
        <v>5.3285003657645E7</v>
      </c>
      <c r="B2" s="123">
        <v>4.71669310344828E8</v>
      </c>
      <c r="C2" s="123">
        <v>3045267.909715</v>
      </c>
      <c r="D2" s="123">
        <v>4.79E7</v>
      </c>
      <c r="E2" s="123">
        <v>4.11E8</v>
      </c>
      <c r="F2" s="123">
        <v>1.92E9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23">
        <v>5.3783196781273E7</v>
      </c>
      <c r="B3" s="123">
        <v>5.02689310344828E8</v>
      </c>
      <c r="C3" s="123">
        <v>5108378.802748</v>
      </c>
      <c r="D3" s="123">
        <v>5.64E7</v>
      </c>
      <c r="E3" s="123">
        <v>4.57E8</v>
      </c>
      <c r="F3" s="123">
        <v>1.98E9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23">
        <v>6.6324667154353E7</v>
      </c>
      <c r="B4" s="123">
        <v>4.28834482758621E8</v>
      </c>
      <c r="C4" s="123">
        <v>4957277.723258</v>
      </c>
      <c r="D4" s="123">
        <v>7.37E7</v>
      </c>
      <c r="E4" s="123">
        <v>3.61E8</v>
      </c>
      <c r="F4" s="123">
        <v>2.89E9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23">
        <v>4.8267887323944E7</v>
      </c>
      <c r="B5" s="123">
        <v>1.94140335289187E8</v>
      </c>
      <c r="C5" s="123">
        <v>492635.726795</v>
      </c>
      <c r="D5" s="138">
        <v>7.27E7</v>
      </c>
      <c r="E5" s="123">
        <v>2.15E8</v>
      </c>
      <c r="F5" s="123">
        <v>6.98E8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23">
        <v>6.2537957746479E7</v>
      </c>
      <c r="B6" s="123">
        <v>1.91410159262364E8</v>
      </c>
      <c r="C6" s="123">
        <v>388922.942207</v>
      </c>
      <c r="D6" s="138">
        <v>5.8E7</v>
      </c>
      <c r="E6" s="123">
        <v>2.37E8</v>
      </c>
      <c r="F6" s="123">
        <v>6.54E8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23">
        <v>6.1035845070423E7</v>
      </c>
      <c r="B7" s="123">
        <v>8.9152657166806E7</v>
      </c>
      <c r="C7" s="123">
        <v>243725.043783</v>
      </c>
      <c r="D7" s="138">
        <v>4.26E7</v>
      </c>
      <c r="E7" s="123">
        <v>1.19E8</v>
      </c>
      <c r="F7" s="123">
        <v>5.2E8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39"/>
      <c r="B8" s="123">
        <v>2.72843864207879E8</v>
      </c>
      <c r="C8" s="123">
        <v>2187931.034483</v>
      </c>
      <c r="D8" s="139"/>
      <c r="E8" s="123">
        <v>3.88E8</v>
      </c>
      <c r="F8" s="123">
        <v>1.4E8</v>
      </c>
      <c r="G8" s="41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39"/>
      <c r="B9" s="123">
        <v>1.84001454316848E8</v>
      </c>
      <c r="C9" s="123">
        <v>923793.103448</v>
      </c>
      <c r="D9" s="139"/>
      <c r="E9" s="123">
        <v>2.82E8</v>
      </c>
      <c r="F9" s="123">
        <v>8.1E7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39"/>
      <c r="B10" s="123">
        <v>1.76344551550712E8</v>
      </c>
      <c r="C10" s="123">
        <v>826551.724138</v>
      </c>
      <c r="D10" s="139"/>
      <c r="E10" s="123">
        <v>2.6E8</v>
      </c>
      <c r="F10" s="123">
        <v>1.8E8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39"/>
      <c r="B11" s="123">
        <v>3.37280391542678E8</v>
      </c>
      <c r="C11" s="123">
        <v>1191349.538977</v>
      </c>
      <c r="D11" s="139"/>
      <c r="E11" s="123">
        <v>3.39E8</v>
      </c>
      <c r="F11" s="123">
        <v>1.58E8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39"/>
      <c r="B12" s="123">
        <v>3.40955555990603E8</v>
      </c>
      <c r="C12" s="123">
        <v>1141709.974853</v>
      </c>
      <c r="D12" s="139"/>
      <c r="E12" s="123">
        <v>3.84E8</v>
      </c>
      <c r="F12" s="123">
        <v>2.63E8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39"/>
      <c r="B13" s="123">
        <v>2.23454635865309E8</v>
      </c>
      <c r="C13" s="123">
        <v>794233.025985</v>
      </c>
      <c r="D13" s="139"/>
      <c r="E13" s="123">
        <v>8.71E8</v>
      </c>
      <c r="F13" s="123">
        <v>6.66E8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39"/>
      <c r="B14" s="123">
        <v>1.26558381858083E9</v>
      </c>
      <c r="C14" s="123">
        <v>694953.897737</v>
      </c>
      <c r="D14" s="139"/>
      <c r="E14" s="123">
        <v>7.0E8</v>
      </c>
      <c r="F14" s="123">
        <v>3.09E8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39"/>
      <c r="B15" s="123">
        <v>7.99708266276518E8</v>
      </c>
      <c r="C15" s="123">
        <v>893512.154233</v>
      </c>
      <c r="D15" s="139"/>
      <c r="E15" s="123">
        <v>9.08E8</v>
      </c>
      <c r="F15" s="123">
        <v>1.95E8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39"/>
      <c r="B16" s="123">
        <v>1.05582285296269E9</v>
      </c>
      <c r="C16" s="123">
        <v>1042430.846605</v>
      </c>
      <c r="D16" s="139"/>
      <c r="E16" s="123">
        <v>1.84E8</v>
      </c>
      <c r="F16" s="123">
        <v>4.7E8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39"/>
      <c r="B17" s="123">
        <v>3.33469014084507E8</v>
      </c>
      <c r="C17" s="123">
        <v>4141307.35</v>
      </c>
      <c r="D17" s="139"/>
      <c r="E17" s="123">
        <v>1.44E8</v>
      </c>
      <c r="F17" s="123">
        <v>4.87E8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39"/>
      <c r="B18" s="123">
        <v>4.03167042253521E8</v>
      </c>
      <c r="C18" s="123">
        <v>3758412.75</v>
      </c>
      <c r="D18" s="139"/>
      <c r="E18" s="123">
        <v>2.19E8</v>
      </c>
      <c r="F18" s="123">
        <v>5.12E8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39"/>
      <c r="B19" s="123">
        <v>2.88605915492958E8</v>
      </c>
      <c r="C19" s="123">
        <v>5033048.72</v>
      </c>
      <c r="D19" s="139"/>
      <c r="E19" s="123">
        <v>1.09E8</v>
      </c>
      <c r="F19" s="123">
        <v>9.03E7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39"/>
      <c r="B20" s="123">
        <v>1.35160051216389E8</v>
      </c>
      <c r="C20" s="123">
        <v>466069.14</v>
      </c>
      <c r="D20" s="139"/>
      <c r="E20" s="123">
        <v>1.29E8</v>
      </c>
      <c r="F20" s="123">
        <v>1.08E8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39"/>
      <c r="B21" s="123">
        <v>1.72906530089629E8</v>
      </c>
      <c r="C21" s="123">
        <v>466069.14</v>
      </c>
      <c r="D21" s="139"/>
      <c r="E21" s="123">
        <v>1.73E8</v>
      </c>
      <c r="F21" s="123">
        <v>4.11E7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39"/>
      <c r="B22" s="123">
        <v>1.88681177976953E8</v>
      </c>
      <c r="C22" s="123">
        <v>460947.5</v>
      </c>
      <c r="D22" s="139"/>
      <c r="E22" s="123">
        <v>2.01E8</v>
      </c>
      <c r="F22" s="139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39"/>
      <c r="B23" s="123">
        <v>1.67999385515728E8</v>
      </c>
      <c r="C23" s="139"/>
      <c r="D23" s="139"/>
      <c r="E23" s="123">
        <v>1.06E8</v>
      </c>
      <c r="F23" s="139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39"/>
      <c r="B24" s="123">
        <v>1.79956020482809E8</v>
      </c>
      <c r="C24" s="139"/>
      <c r="D24" s="139"/>
      <c r="E24" s="123">
        <v>1.97E8</v>
      </c>
      <c r="F24" s="139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39"/>
      <c r="B25" s="123">
        <v>1.36938127286028E8</v>
      </c>
      <c r="C25" s="139"/>
      <c r="D25" s="139"/>
      <c r="E25" s="139"/>
      <c r="F25" s="139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39"/>
      <c r="B26" s="139"/>
      <c r="C26" s="139"/>
      <c r="D26" s="139"/>
      <c r="E26" s="139"/>
      <c r="F26" s="139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