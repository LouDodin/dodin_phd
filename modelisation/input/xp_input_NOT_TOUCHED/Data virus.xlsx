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Coevo 15"/>
    <sheet r:id="rId2" sheetId="2" name="Coevo 20"/>
    <sheet r:id="rId3" sheetId="3" name="Coevo 26"/>
    <sheet r:id="rId4" sheetId="4" name="Virus 15"/>
    <sheet r:id="rId5" sheetId="5" name="Virus 20"/>
    <sheet r:id="rId6" sheetId="6" name="Virus 26"/>
  </sheets>
  <calcPr fullCalcOnLoad="1"/>
</workbook>
</file>

<file path=xl/sharedStrings.xml><?xml version="1.0" encoding="utf-8"?>
<sst xmlns="http://schemas.openxmlformats.org/spreadsheetml/2006/main" count="93" uniqueCount="18">
  <si>
    <t>Coevo 26°C</t>
  </si>
  <si>
    <t>Cycle</t>
  </si>
  <si>
    <t>Date</t>
  </si>
  <si>
    <t>Données brut</t>
  </si>
  <si>
    <t>True count</t>
  </si>
  <si>
    <t>Flow rate</t>
  </si>
  <si>
    <t>Dilution</t>
  </si>
  <si>
    <t>Concentration (cells/ml)</t>
  </si>
  <si>
    <t>A</t>
  </si>
  <si>
    <t>B</t>
  </si>
  <si>
    <t>C</t>
  </si>
  <si>
    <t>Debit reel</t>
  </si>
  <si>
    <t>Slow</t>
  </si>
  <si>
    <t>Evo 20°C</t>
  </si>
  <si>
    <t>Evo virale 15°C</t>
  </si>
  <si>
    <t xml:space="preserve">Cycle </t>
  </si>
  <si>
    <t>Coevo 20°C</t>
  </si>
  <si>
    <t>Coevo 15°C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</si>
</sst>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 h:mm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3d6"/>
      </patternFill>
    </fill>
    <fill>
      <patternFill patternType="solid">
        <fgColor rgb="FFd9f2d0"/>
      </patternFill>
    </fill>
    <fill>
      <patternFill patternType="solid">
        <fgColor rgb="FFcaeefb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center" vertical="top"/>
    </xf>
    <xf xfId="0" numFmtId="164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1" applyNumberFormat="1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165" applyNumberFormat="1" borderId="1" applyBorder="1" fontId="1" applyFont="1" fillId="3" applyFill="1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" applyNumberFormat="1" borderId="2" applyBorder="1" fontId="1" applyFont="1" fillId="0" applyAlignment="1">
      <alignment horizontal="right"/>
    </xf>
    <xf xfId="0" numFmtId="165" applyNumberFormat="1" borderId="2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4" applyFill="1" applyAlignment="1">
      <alignment horizontal="center"/>
    </xf>
    <xf xfId="0" numFmtId="1" applyNumberFormat="1" borderId="1" applyBorder="1" fontId="1" applyFont="1" fillId="4" applyFill="1" applyAlignment="1">
      <alignment horizontal="center"/>
    </xf>
    <xf xfId="0" numFmtId="4" applyNumberFormat="1" borderId="1" applyBorder="1" fontId="1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165" applyNumberFormat="1" borderId="1" applyBorder="1" fontId="1" applyFont="1" fillId="4" applyFill="1" applyAlignment="1">
      <alignment horizontal="center"/>
    </xf>
    <xf xfId="0" numFmtId="165" applyNumberFormat="1" borderId="1" applyBorder="1" fontId="1" applyFont="1" fillId="2" applyFill="1" applyAlignment="1">
      <alignment horizontal="center"/>
    </xf>
    <xf xfId="0" numFmtId="22" applyNumberFormat="1" borderId="2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3"/>
  <sheetViews>
    <sheetView workbookViewId="0"/>
  </sheetViews>
  <sheetFormatPr defaultRowHeight="15" x14ac:dyDescent="0.25"/>
  <cols>
    <col min="1" max="1" style="20" width="13.005" customWidth="1" bestFit="1"/>
    <col min="2" max="2" style="21" width="13.005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3" width="13.005" customWidth="1" bestFit="1"/>
    <col min="9" max="9" style="24" width="13.005" customWidth="1" bestFit="1"/>
    <col min="10" max="10" style="36" width="13.005" customWidth="1" bestFit="1"/>
    <col min="11" max="11" style="37" width="13.005" customWidth="1" bestFit="1"/>
    <col min="12" max="12" style="37" width="13.005" customWidth="1" bestFit="1"/>
    <col min="13" max="13" style="37" width="13.005" customWidth="1" bestFit="1"/>
  </cols>
  <sheetData>
    <row x14ac:dyDescent="0.25" r="1" customHeight="1" ht="18">
      <c r="A1" s="41" t="s">
        <v>17</v>
      </c>
      <c r="B1" s="40"/>
      <c r="C1" s="40"/>
      <c r="D1" s="40"/>
      <c r="E1" s="40"/>
      <c r="F1" s="40"/>
      <c r="G1" s="40"/>
      <c r="H1" s="42"/>
      <c r="I1" s="43"/>
      <c r="J1" s="41"/>
      <c r="K1" s="44"/>
      <c r="L1" s="44"/>
      <c r="M1" s="44"/>
    </row>
    <row x14ac:dyDescent="0.25" r="2" customHeight="1" ht="18">
      <c r="A2" s="6" t="s">
        <v>2</v>
      </c>
      <c r="B2" s="7" t="s">
        <v>3</v>
      </c>
      <c r="C2" s="7"/>
      <c r="D2" s="7"/>
      <c r="E2" s="7" t="s">
        <v>4</v>
      </c>
      <c r="F2" s="7"/>
      <c r="G2" s="7"/>
      <c r="H2" s="8"/>
      <c r="I2" s="9" t="s">
        <v>5</v>
      </c>
      <c r="J2" s="32" t="s">
        <v>6</v>
      </c>
      <c r="K2" s="33" t="s">
        <v>7</v>
      </c>
      <c r="L2" s="33"/>
      <c r="M2" s="33"/>
    </row>
    <row x14ac:dyDescent="0.25" r="3" customHeight="1" ht="18">
      <c r="A3" s="6"/>
      <c r="B3" s="10" t="s">
        <v>8</v>
      </c>
      <c r="C3" s="10" t="s">
        <v>9</v>
      </c>
      <c r="D3" s="10" t="s">
        <v>10</v>
      </c>
      <c r="E3" s="12">
        <v>1</v>
      </c>
      <c r="F3" s="12">
        <v>2</v>
      </c>
      <c r="G3" s="12">
        <v>3</v>
      </c>
      <c r="H3" s="11" t="s">
        <v>11</v>
      </c>
      <c r="I3" s="9"/>
      <c r="J3" s="32"/>
      <c r="K3" s="33" t="s">
        <v>8</v>
      </c>
      <c r="L3" s="33" t="s">
        <v>9</v>
      </c>
      <c r="M3" s="33" t="s">
        <v>10</v>
      </c>
    </row>
    <row x14ac:dyDescent="0.25" r="4" customHeight="1" ht="18">
      <c r="A4" s="14">
        <v>45341.625</v>
      </c>
      <c r="B4" s="12">
        <v>786</v>
      </c>
      <c r="C4" s="12">
        <v>828</v>
      </c>
      <c r="D4" s="12">
        <v>848</v>
      </c>
      <c r="E4" s="12">
        <v>389</v>
      </c>
      <c r="F4" s="12">
        <v>382</v>
      </c>
      <c r="G4" s="12">
        <v>358</v>
      </c>
      <c r="H4" s="15">
        <f>AVERAGE(E4:G4)*1000/47400</f>
      </c>
      <c r="I4" s="16" t="s">
        <v>12</v>
      </c>
      <c r="J4" s="34">
        <v>40</v>
      </c>
      <c r="K4" s="35">
        <v>3959936.226749336</v>
      </c>
      <c r="L4" s="35">
        <v>4171535.8724534987</v>
      </c>
      <c r="M4" s="35">
        <v>4272297.6085031</v>
      </c>
    </row>
    <row x14ac:dyDescent="0.25" r="5" customHeight="1" ht="18">
      <c r="A5" s="14">
        <v>45342.395833333336</v>
      </c>
      <c r="B5" s="12">
        <v>3485</v>
      </c>
      <c r="C5" s="12">
        <v>4483</v>
      </c>
      <c r="D5" s="12">
        <v>5590</v>
      </c>
      <c r="E5" s="12">
        <v>389</v>
      </c>
      <c r="F5" s="12">
        <v>382</v>
      </c>
      <c r="G5" s="12">
        <v>358</v>
      </c>
      <c r="H5" s="15">
        <f>AVERAGE(E5:G5)*1000/47400</f>
      </c>
      <c r="I5" s="17"/>
      <c r="J5" s="34">
        <v>40</v>
      </c>
      <c r="K5" s="35">
        <v>17557732.506643046</v>
      </c>
      <c r="L5" s="35">
        <v>22585743.13551816</v>
      </c>
      <c r="M5" s="35">
        <v>28162905.2258636</v>
      </c>
    </row>
    <row x14ac:dyDescent="0.25" r="6" customHeight="1" ht="18">
      <c r="A6" s="14">
        <v>45343.395833333336</v>
      </c>
      <c r="B6" s="12">
        <v>740</v>
      </c>
      <c r="C6" s="12">
        <v>1085</v>
      </c>
      <c r="D6" s="12">
        <v>1050</v>
      </c>
      <c r="E6" s="12">
        <v>358</v>
      </c>
      <c r="F6" s="12">
        <v>377</v>
      </c>
      <c r="G6" s="12">
        <v>401</v>
      </c>
      <c r="H6" s="15">
        <f>AVERAGE(E6:G6)*1000/47400</f>
      </c>
      <c r="I6" s="17"/>
      <c r="J6" s="34">
        <v>400</v>
      </c>
      <c r="K6" s="35">
        <v>37052112.67605633</v>
      </c>
      <c r="L6" s="35">
        <v>54326408.450704224</v>
      </c>
      <c r="M6" s="35">
        <v>52573943.66197183</v>
      </c>
    </row>
    <row x14ac:dyDescent="0.25" r="7" customHeight="1" ht="18">
      <c r="A7" s="14">
        <v>45344.395833333336</v>
      </c>
      <c r="B7" s="12">
        <v>1306</v>
      </c>
      <c r="C7" s="12">
        <v>1226</v>
      </c>
      <c r="D7" s="12">
        <v>857</v>
      </c>
      <c r="E7" s="12">
        <v>358</v>
      </c>
      <c r="F7" s="12">
        <v>377</v>
      </c>
      <c r="G7" s="12">
        <v>401</v>
      </c>
      <c r="H7" s="15">
        <f>AVERAGE(E7:G7)*1000/47400</f>
      </c>
      <c r="I7" s="17"/>
      <c r="J7" s="34">
        <v>400</v>
      </c>
      <c r="K7" s="35">
        <v>65391971.83098591</v>
      </c>
      <c r="L7" s="35">
        <v>61386338.02816901</v>
      </c>
      <c r="M7" s="35">
        <v>42910352.112676054</v>
      </c>
    </row>
    <row x14ac:dyDescent="0.25" r="8" customHeight="1" ht="18">
      <c r="A8" s="14">
        <v>45345.395833333336</v>
      </c>
      <c r="B8" s="12">
        <v>1338</v>
      </c>
      <c r="C8" s="12">
        <v>948</v>
      </c>
      <c r="D8" s="12">
        <v>815</v>
      </c>
      <c r="E8" s="12">
        <v>358</v>
      </c>
      <c r="F8" s="12">
        <v>377</v>
      </c>
      <c r="G8" s="12">
        <v>401</v>
      </c>
      <c r="H8" s="15">
        <f>AVERAGE(E8:G8)*1000/47400</f>
      </c>
      <c r="I8" s="17"/>
      <c r="J8" s="34">
        <v>400</v>
      </c>
      <c r="K8" s="35">
        <v>66994225.35211267</v>
      </c>
      <c r="L8" s="35">
        <v>47466760.56338028</v>
      </c>
      <c r="M8" s="35">
        <v>40807394.366197184</v>
      </c>
    </row>
    <row x14ac:dyDescent="0.25" r="9" customHeight="1" ht="18">
      <c r="A9" s="14">
        <v>45348.395833333336</v>
      </c>
      <c r="B9" s="12">
        <v>900</v>
      </c>
      <c r="C9" s="12">
        <v>1075</v>
      </c>
      <c r="D9" s="12">
        <v>1115</v>
      </c>
      <c r="E9" s="12">
        <v>348</v>
      </c>
      <c r="F9" s="12">
        <v>314</v>
      </c>
      <c r="G9" s="12">
        <v>357</v>
      </c>
      <c r="H9" s="15">
        <f>AVERAGE(E9:G9)*1000/49350</f>
      </c>
      <c r="I9" s="17"/>
      <c r="J9" s="34">
        <v>400</v>
      </c>
      <c r="K9" s="35">
        <v>52304219.82335623</v>
      </c>
      <c r="L9" s="35">
        <v>62474484.78900883</v>
      </c>
      <c r="M9" s="35">
        <v>64799116.78115799</v>
      </c>
    </row>
    <row x14ac:dyDescent="0.25" r="10" customHeight="1" ht="18">
      <c r="A10" s="14">
        <v>45349.395833333336</v>
      </c>
      <c r="B10" s="12">
        <v>930</v>
      </c>
      <c r="C10" s="12">
        <v>925</v>
      </c>
      <c r="D10" s="12">
        <v>1077</v>
      </c>
      <c r="E10" s="12">
        <v>348</v>
      </c>
      <c r="F10" s="12">
        <v>314</v>
      </c>
      <c r="G10" s="12">
        <v>357</v>
      </c>
      <c r="H10" s="15">
        <f>AVERAGE(E10:G10)*1000/49350</f>
      </c>
      <c r="I10" s="17"/>
      <c r="J10" s="34">
        <v>400</v>
      </c>
      <c r="K10" s="35">
        <v>54047693.81746811</v>
      </c>
      <c r="L10" s="35">
        <v>53757114.81844946</v>
      </c>
      <c r="M10" s="35">
        <v>62590716.388616286</v>
      </c>
    </row>
    <row x14ac:dyDescent="0.25" r="11" customHeight="1" ht="18">
      <c r="A11" s="14">
        <v>45350.395833333336</v>
      </c>
      <c r="B11" s="12">
        <v>833</v>
      </c>
      <c r="C11" s="12">
        <v>994</v>
      </c>
      <c r="D11" s="12">
        <v>1299</v>
      </c>
      <c r="E11" s="12">
        <v>348</v>
      </c>
      <c r="F11" s="12">
        <v>314</v>
      </c>
      <c r="G11" s="12">
        <v>357</v>
      </c>
      <c r="H11" s="15">
        <f>AVERAGE(E11:G11)*1000/49350</f>
      </c>
      <c r="I11" s="17"/>
      <c r="J11" s="34">
        <v>400</v>
      </c>
      <c r="K11" s="35">
        <v>48410461.23650638</v>
      </c>
      <c r="L11" s="35">
        <v>57767105.004906766</v>
      </c>
      <c r="M11" s="35">
        <v>75492423.94504416</v>
      </c>
    </row>
    <row x14ac:dyDescent="0.25" r="12" customHeight="1" ht="18">
      <c r="A12" s="14">
        <v>45351.395833333336</v>
      </c>
      <c r="B12" s="12">
        <v>836</v>
      </c>
      <c r="C12" s="12">
        <v>1018</v>
      </c>
      <c r="D12" s="12">
        <v>1138</v>
      </c>
      <c r="E12" s="12">
        <v>348</v>
      </c>
      <c r="F12" s="12">
        <v>314</v>
      </c>
      <c r="G12" s="12">
        <v>357</v>
      </c>
      <c r="H12" s="15">
        <f>AVERAGE(E12:G12)*1000/49350</f>
      </c>
      <c r="I12" s="17"/>
      <c r="J12" s="34">
        <v>400</v>
      </c>
      <c r="K12" s="35">
        <v>48584808.63591757</v>
      </c>
      <c r="L12" s="35">
        <v>59161884.200196266</v>
      </c>
      <c r="M12" s="35">
        <v>66135780.17664377</v>
      </c>
    </row>
    <row x14ac:dyDescent="0.25" r="13" customHeight="1" ht="18">
      <c r="A13" s="14">
        <v>45352.395833333336</v>
      </c>
      <c r="B13" s="12">
        <v>830</v>
      </c>
      <c r="C13" s="12">
        <v>1137</v>
      </c>
      <c r="D13" s="12">
        <v>775</v>
      </c>
      <c r="E13" s="12">
        <v>348</v>
      </c>
      <c r="F13" s="12">
        <v>314</v>
      </c>
      <c r="G13" s="12">
        <v>357</v>
      </c>
      <c r="H13" s="15">
        <f>AVERAGE(E13:G13)*1000/49350</f>
      </c>
      <c r="I13" s="17"/>
      <c r="J13" s="34">
        <v>400</v>
      </c>
      <c r="K13" s="35">
        <v>48236113.837095186</v>
      </c>
      <c r="L13" s="35">
        <v>66077664.37684004</v>
      </c>
      <c r="M13" s="35">
        <v>45039744.84789009</v>
      </c>
    </row>
    <row x14ac:dyDescent="0.25" r="14" customHeight="1" ht="18">
      <c r="A14" s="14">
        <v>45355.395833333336</v>
      </c>
      <c r="B14" s="12">
        <v>833</v>
      </c>
      <c r="C14" s="12">
        <v>1135</v>
      </c>
      <c r="D14" s="12">
        <v>1161</v>
      </c>
      <c r="E14" s="12">
        <v>348</v>
      </c>
      <c r="F14" s="12">
        <v>314</v>
      </c>
      <c r="G14" s="12">
        <v>357</v>
      </c>
      <c r="H14" s="15">
        <f>AVERAGE(E14:G14)*1000/49350</f>
      </c>
      <c r="I14" s="17"/>
      <c r="J14" s="34">
        <v>400</v>
      </c>
      <c r="K14" s="35">
        <v>48410461.23650638</v>
      </c>
      <c r="L14" s="35">
        <v>65961432.77723258</v>
      </c>
      <c r="M14" s="35">
        <v>67472443.57212953</v>
      </c>
    </row>
    <row x14ac:dyDescent="0.25" r="15" customHeight="1" ht="18">
      <c r="A15" s="14">
        <v>45356.395833333336</v>
      </c>
      <c r="B15" s="12">
        <v>847</v>
      </c>
      <c r="C15" s="12">
        <v>1025</v>
      </c>
      <c r="D15" s="12">
        <v>1215</v>
      </c>
      <c r="E15" s="12">
        <v>393</v>
      </c>
      <c r="F15" s="12">
        <v>355</v>
      </c>
      <c r="G15" s="12">
        <v>394</v>
      </c>
      <c r="H15" s="15">
        <f>AVERAGE(E15:G15)*1000/49350</f>
      </c>
      <c r="I15" s="17"/>
      <c r="J15" s="34">
        <v>400</v>
      </c>
      <c r="K15" s="35">
        <v>43922364.2732049</v>
      </c>
      <c r="L15" s="35">
        <v>53152802.10157618</v>
      </c>
      <c r="M15" s="35">
        <v>63005516.637478106</v>
      </c>
    </row>
    <row x14ac:dyDescent="0.25" r="16" customHeight="1" ht="18">
      <c r="A16" s="14">
        <v>45357.395833333336</v>
      </c>
      <c r="B16" s="12">
        <v>940</v>
      </c>
      <c r="C16" s="12">
        <v>1042</v>
      </c>
      <c r="D16" s="12">
        <v>1013</v>
      </c>
      <c r="E16" s="12">
        <v>393</v>
      </c>
      <c r="F16" s="12">
        <v>355</v>
      </c>
      <c r="G16" s="12">
        <v>394</v>
      </c>
      <c r="H16" s="15">
        <f>AVERAGE(E16:G16)*1000/49350</f>
      </c>
      <c r="I16" s="17"/>
      <c r="J16" s="34">
        <v>400</v>
      </c>
      <c r="K16" s="35">
        <v>48745008.75656742</v>
      </c>
      <c r="L16" s="35">
        <v>54034360.77057793</v>
      </c>
      <c r="M16" s="35">
        <v>52530525.39404553</v>
      </c>
    </row>
    <row x14ac:dyDescent="0.25" r="17" customHeight="1" ht="18">
      <c r="A17" s="14">
        <v>45358.395833333336</v>
      </c>
      <c r="B17" s="12">
        <v>884</v>
      </c>
      <c r="C17" s="12">
        <v>1013</v>
      </c>
      <c r="D17" s="12">
        <v>1099</v>
      </c>
      <c r="E17" s="12">
        <v>393</v>
      </c>
      <c r="F17" s="12">
        <v>355</v>
      </c>
      <c r="G17" s="12">
        <v>394</v>
      </c>
      <c r="H17" s="15">
        <f>AVERAGE(E17:G17)*1000/49350</f>
      </c>
      <c r="I17" s="17"/>
      <c r="J17" s="34">
        <v>400</v>
      </c>
      <c r="K17" s="35">
        <v>45841050.78809106</v>
      </c>
      <c r="L17" s="35">
        <v>52530525.39404553</v>
      </c>
      <c r="M17" s="35">
        <v>56990175.131348506</v>
      </c>
    </row>
    <row x14ac:dyDescent="0.25" r="18" customHeight="1" ht="18">
      <c r="A18" s="14">
        <v>45359.395833333336</v>
      </c>
      <c r="B18" s="12">
        <v>1066</v>
      </c>
      <c r="C18" s="12">
        <v>1075</v>
      </c>
      <c r="D18" s="12">
        <v>1225</v>
      </c>
      <c r="E18" s="12">
        <v>393</v>
      </c>
      <c r="F18" s="12">
        <v>355</v>
      </c>
      <c r="G18" s="12">
        <v>394</v>
      </c>
      <c r="H18" s="15">
        <f>AVERAGE(E18:G18)*1000/49350</f>
      </c>
      <c r="I18" s="17"/>
      <c r="J18" s="34">
        <v>400</v>
      </c>
      <c r="K18" s="35">
        <v>55278914.185639225</v>
      </c>
      <c r="L18" s="35">
        <v>55745621.71628721</v>
      </c>
      <c r="M18" s="35">
        <v>63524080.56042031</v>
      </c>
    </row>
    <row x14ac:dyDescent="0.25" r="19" customHeight="1" ht="18">
      <c r="A19" s="14">
        <v>45363.395833333336</v>
      </c>
      <c r="B19" s="12">
        <v>815</v>
      </c>
      <c r="C19" s="12">
        <v>1143</v>
      </c>
      <c r="D19" s="12">
        <v>717</v>
      </c>
      <c r="E19" s="12">
        <v>393</v>
      </c>
      <c r="F19" s="12">
        <v>355</v>
      </c>
      <c r="G19" s="12">
        <v>394</v>
      </c>
      <c r="H19" s="15">
        <f>AVERAGE(E19:G19)*1000/49350</f>
      </c>
      <c r="I19" s="17"/>
      <c r="J19" s="34">
        <v>400</v>
      </c>
      <c r="K19" s="35">
        <v>42262959.71978984</v>
      </c>
      <c r="L19" s="35">
        <v>59271856.39229421</v>
      </c>
      <c r="M19" s="35">
        <v>37181033.27495621</v>
      </c>
    </row>
    <row x14ac:dyDescent="0.25" r="20" customHeight="1" ht="18">
      <c r="A20" s="14">
        <v>45364.395833333336</v>
      </c>
      <c r="B20" s="12">
        <v>918</v>
      </c>
      <c r="C20" s="12">
        <v>1230</v>
      </c>
      <c r="D20" s="12">
        <v>1094</v>
      </c>
      <c r="E20" s="12">
        <v>393</v>
      </c>
      <c r="F20" s="12">
        <v>355</v>
      </c>
      <c r="G20" s="12">
        <v>394</v>
      </c>
      <c r="H20" s="15">
        <f>AVERAGE(E20:G20)*1000/49350</f>
      </c>
      <c r="I20" s="17"/>
      <c r="J20" s="34">
        <v>400</v>
      </c>
      <c r="K20" s="35">
        <v>47604168.126094565</v>
      </c>
      <c r="L20" s="35">
        <v>63783362.521891415</v>
      </c>
      <c r="M20" s="35">
        <v>56730893.1698774</v>
      </c>
    </row>
    <row x14ac:dyDescent="0.25" r="21" customHeight="1" ht="18">
      <c r="A21" s="14">
        <v>45365.395833333336</v>
      </c>
      <c r="B21" s="12">
        <v>1039</v>
      </c>
      <c r="C21" s="12">
        <v>1276</v>
      </c>
      <c r="D21" s="12">
        <v>1187</v>
      </c>
      <c r="E21" s="12">
        <v>393</v>
      </c>
      <c r="F21" s="12">
        <v>355</v>
      </c>
      <c r="G21" s="12">
        <v>394</v>
      </c>
      <c r="H21" s="15">
        <f>AVERAGE(E21:G21)*1000/49350</f>
      </c>
      <c r="I21" s="17"/>
      <c r="J21" s="34">
        <v>400</v>
      </c>
      <c r="K21" s="35">
        <v>53878791.59369527</v>
      </c>
      <c r="L21" s="35">
        <v>66168756.567425564</v>
      </c>
      <c r="M21" s="35">
        <v>61553537.65323993</v>
      </c>
    </row>
    <row x14ac:dyDescent="0.25" r="22" customHeight="1" ht="18">
      <c r="A22" s="14">
        <v>45366.395833333336</v>
      </c>
      <c r="B22" s="12">
        <v>940</v>
      </c>
      <c r="C22" s="12">
        <v>1141</v>
      </c>
      <c r="D22" s="12">
        <v>1102</v>
      </c>
      <c r="E22" s="12">
        <v>393</v>
      </c>
      <c r="F22" s="12">
        <v>417</v>
      </c>
      <c r="G22" s="12">
        <v>408</v>
      </c>
      <c r="H22" s="15">
        <f>AVERAGE(E22:G22)*1000/49350</f>
      </c>
      <c r="I22" s="17"/>
      <c r="J22" s="34">
        <v>400</v>
      </c>
      <c r="K22" s="35">
        <v>45703448.27586207</v>
      </c>
      <c r="L22" s="35">
        <v>55476206.89655172</v>
      </c>
      <c r="M22" s="35">
        <v>53580000</v>
      </c>
    </row>
    <row x14ac:dyDescent="0.25" r="23" customHeight="1" ht="18">
      <c r="A23" s="14">
        <v>45367.395833333336</v>
      </c>
      <c r="B23" s="12">
        <v>865</v>
      </c>
      <c r="C23" s="12">
        <v>939</v>
      </c>
      <c r="D23" s="12">
        <v>981</v>
      </c>
      <c r="E23" s="12">
        <v>393</v>
      </c>
      <c r="F23" s="12">
        <v>417</v>
      </c>
      <c r="G23" s="12">
        <v>408</v>
      </c>
      <c r="H23" s="15">
        <f>AVERAGE(E23:G23)*1000/49350</f>
      </c>
      <c r="I23" s="17"/>
      <c r="J23" s="34">
        <v>400</v>
      </c>
      <c r="K23" s="35">
        <v>42056896.551724136</v>
      </c>
      <c r="L23" s="35">
        <v>45654827.5862069</v>
      </c>
      <c r="M23" s="35">
        <v>47696896.551724136</v>
      </c>
    </row>
    <row x14ac:dyDescent="0.25" r="24" customHeight="1" ht="18">
      <c r="A24" s="14">
        <v>45368.395833333336</v>
      </c>
      <c r="B24" s="12">
        <v>868</v>
      </c>
      <c r="C24" s="12">
        <v>1056</v>
      </c>
      <c r="D24" s="12">
        <v>842</v>
      </c>
      <c r="E24" s="12">
        <v>393</v>
      </c>
      <c r="F24" s="12">
        <v>417</v>
      </c>
      <c r="G24" s="12">
        <v>408</v>
      </c>
      <c r="H24" s="15">
        <f>AVERAGE(E24:G24)*1000/49350</f>
      </c>
      <c r="I24" s="17"/>
      <c r="J24" s="34">
        <v>400</v>
      </c>
      <c r="K24" s="35">
        <v>42202758.62068965</v>
      </c>
      <c r="L24" s="35">
        <v>51343448.27586207</v>
      </c>
      <c r="M24" s="35">
        <v>40938620.68965517</v>
      </c>
    </row>
    <row x14ac:dyDescent="0.25" r="25" customHeight="1" ht="18">
      <c r="A25" s="14">
        <v>45369.395833333336</v>
      </c>
      <c r="B25" s="12">
        <v>926</v>
      </c>
      <c r="C25" s="12">
        <v>1066</v>
      </c>
      <c r="D25" s="12">
        <v>911</v>
      </c>
      <c r="E25" s="12">
        <v>393</v>
      </c>
      <c r="F25" s="12">
        <v>417</v>
      </c>
      <c r="G25" s="12">
        <v>408</v>
      </c>
      <c r="H25" s="15">
        <f>AVERAGE(E25:G25)*1000/49350</f>
      </c>
      <c r="I25" s="17"/>
      <c r="J25" s="34">
        <v>400</v>
      </c>
      <c r="K25" s="35">
        <v>45022758.62068965</v>
      </c>
      <c r="L25" s="35">
        <v>51829655.17241379</v>
      </c>
      <c r="M25" s="35">
        <v>44293448.27586207</v>
      </c>
    </row>
    <row x14ac:dyDescent="0.25" r="26" customHeight="1" ht="18">
      <c r="A26" s="14">
        <v>45370.395833333336</v>
      </c>
      <c r="B26" s="12">
        <v>711</v>
      </c>
      <c r="C26" s="12">
        <v>917</v>
      </c>
      <c r="D26" s="12">
        <v>961</v>
      </c>
      <c r="E26" s="12">
        <v>393</v>
      </c>
      <c r="F26" s="12">
        <v>417</v>
      </c>
      <c r="G26" s="12">
        <v>408</v>
      </c>
      <c r="H26" s="15">
        <f>AVERAGE(E26:G26)*1000/49350</f>
      </c>
      <c r="I26" s="17"/>
      <c r="J26" s="34">
        <v>400</v>
      </c>
      <c r="K26" s="35">
        <v>34569310.344827585</v>
      </c>
      <c r="L26" s="35">
        <v>44585172.4137931</v>
      </c>
      <c r="M26" s="35">
        <v>46724482.75862069</v>
      </c>
    </row>
    <row x14ac:dyDescent="0.25" r="27" customHeight="1" ht="18">
      <c r="A27" s="14">
        <v>45371.395833333336</v>
      </c>
      <c r="B27" s="12">
        <v>976</v>
      </c>
      <c r="C27" s="12">
        <v>987</v>
      </c>
      <c r="D27" s="12">
        <v>1121</v>
      </c>
      <c r="E27" s="12">
        <v>393</v>
      </c>
      <c r="F27" s="12">
        <v>417</v>
      </c>
      <c r="G27" s="12">
        <v>408</v>
      </c>
      <c r="H27" s="15">
        <f>AVERAGE(E27:G27)*1000/49350</f>
      </c>
      <c r="I27" s="17"/>
      <c r="J27" s="34">
        <v>400</v>
      </c>
      <c r="K27" s="35">
        <v>47453793.10344827</v>
      </c>
      <c r="L27" s="35">
        <v>47988620.68965517</v>
      </c>
      <c r="M27" s="35">
        <v>54503793.10344827</v>
      </c>
    </row>
    <row x14ac:dyDescent="0.25" r="28" customHeight="1" ht="18">
      <c r="A28" s="14">
        <v>45372.395833333336</v>
      </c>
      <c r="B28" s="12">
        <v>813</v>
      </c>
      <c r="C28" s="12">
        <v>1110</v>
      </c>
      <c r="D28" s="12">
        <v>992</v>
      </c>
      <c r="E28" s="12">
        <v>393</v>
      </c>
      <c r="F28" s="12">
        <v>417</v>
      </c>
      <c r="G28" s="12">
        <v>408</v>
      </c>
      <c r="H28" s="15">
        <f>AVERAGE(E28:G28)*1000/49350</f>
      </c>
      <c r="I28" s="17"/>
      <c r="J28" s="34">
        <v>400</v>
      </c>
      <c r="K28" s="35">
        <v>39528620.68965517</v>
      </c>
      <c r="L28" s="35">
        <v>53968965.51724137</v>
      </c>
      <c r="M28" s="35">
        <v>48231724.137931034</v>
      </c>
    </row>
    <row x14ac:dyDescent="0.25" r="29" customHeight="1" ht="18">
      <c r="A29" s="14">
        <v>45373.395833333336</v>
      </c>
      <c r="B29" s="12">
        <v>1019</v>
      </c>
      <c r="C29" s="12">
        <v>1336</v>
      </c>
      <c r="D29" s="12">
        <v>1357</v>
      </c>
      <c r="E29" s="12">
        <v>362</v>
      </c>
      <c r="F29" s="12">
        <v>413</v>
      </c>
      <c r="G29" s="12">
        <v>418</v>
      </c>
      <c r="H29" s="15">
        <f>AVERAGE(E29:G29)*1000/49350</f>
      </c>
      <c r="I29" s="17"/>
      <c r="J29" s="34">
        <v>400</v>
      </c>
      <c r="K29" s="35">
        <v>50582715.84241408</v>
      </c>
      <c r="L29" s="35">
        <v>66318457.66974015</v>
      </c>
      <c r="M29" s="35">
        <v>67360888.51634535</v>
      </c>
    </row>
    <row x14ac:dyDescent="0.25" r="30" customHeight="1" ht="18">
      <c r="A30" s="14">
        <v>45375.395833333336</v>
      </c>
      <c r="B30" s="12">
        <v>951</v>
      </c>
      <c r="C30" s="12">
        <v>1105</v>
      </c>
      <c r="D30" s="12">
        <v>1296</v>
      </c>
      <c r="E30" s="12">
        <v>362</v>
      </c>
      <c r="F30" s="12">
        <v>413</v>
      </c>
      <c r="G30" s="12">
        <v>418</v>
      </c>
      <c r="H30" s="15">
        <f>AVERAGE(E30:G30)*1000/49350</f>
      </c>
      <c r="I30" s="17"/>
      <c r="J30" s="34">
        <v>400</v>
      </c>
      <c r="K30" s="35">
        <v>47207225.48197821</v>
      </c>
      <c r="L30" s="35">
        <v>54851718.357082985</v>
      </c>
      <c r="M30" s="35">
        <v>64332875.10477787</v>
      </c>
    </row>
    <row x14ac:dyDescent="0.25" r="31" customHeight="1" ht="18">
      <c r="A31" s="14">
        <v>45376.395833333336</v>
      </c>
      <c r="B31" s="12">
        <v>1011</v>
      </c>
      <c r="C31" s="12">
        <v>1229</v>
      </c>
      <c r="D31" s="12">
        <v>1191</v>
      </c>
      <c r="E31" s="12">
        <v>362</v>
      </c>
      <c r="F31" s="12">
        <v>413</v>
      </c>
      <c r="G31" s="12">
        <v>418</v>
      </c>
      <c r="H31" s="15">
        <f>AVERAGE(E31:G31)*1000/49350</f>
      </c>
      <c r="I31" s="17"/>
      <c r="J31" s="34">
        <v>400</v>
      </c>
      <c r="K31" s="35">
        <v>50185599.329421625</v>
      </c>
      <c r="L31" s="35">
        <v>61007024.308466054</v>
      </c>
      <c r="M31" s="35">
        <v>59120720.87175188</v>
      </c>
    </row>
    <row x14ac:dyDescent="0.25" r="32" customHeight="1" ht="18">
      <c r="A32" s="14">
        <v>45377.395833333336</v>
      </c>
      <c r="B32" s="12">
        <v>850</v>
      </c>
      <c r="C32" s="12">
        <v>1081</v>
      </c>
      <c r="D32" s="12">
        <v>1213</v>
      </c>
      <c r="E32" s="12">
        <v>362</v>
      </c>
      <c r="F32" s="12">
        <v>413</v>
      </c>
      <c r="G32" s="12">
        <v>418</v>
      </c>
      <c r="H32" s="15">
        <f>AVERAGE(E32:G32)*1000/49350</f>
      </c>
      <c r="I32" s="17"/>
      <c r="J32" s="34">
        <v>400</v>
      </c>
      <c r="K32" s="35">
        <v>42193629.505448446</v>
      </c>
      <c r="L32" s="35">
        <v>53660368.818105616</v>
      </c>
      <c r="M32" s="35">
        <v>60212791.28248114</v>
      </c>
    </row>
    <row x14ac:dyDescent="0.25" r="33" customHeight="1" ht="18">
      <c r="A33" s="14">
        <v>45378.395833333336</v>
      </c>
      <c r="B33" s="12">
        <v>913</v>
      </c>
      <c r="C33" s="12">
        <v>1120</v>
      </c>
      <c r="D33" s="12">
        <v>1130</v>
      </c>
      <c r="E33" s="12">
        <v>460</v>
      </c>
      <c r="F33" s="12">
        <v>426</v>
      </c>
      <c r="G33" s="12">
        <v>417</v>
      </c>
      <c r="H33" s="15">
        <f>AVERAGE(E33:G33)*1000/49350</f>
      </c>
      <c r="I33" s="17"/>
      <c r="J33" s="34">
        <v>399.99999999999994</v>
      </c>
      <c r="K33" s="35">
        <v>41494904.06753645</v>
      </c>
      <c r="L33" s="35">
        <v>50902839.60092095</v>
      </c>
      <c r="M33" s="35">
        <v>51357329.24021489</v>
      </c>
    </row>
    <row x14ac:dyDescent="0.25" r="34" customHeight="1" ht="18">
      <c r="A34" s="14">
        <v>45379.395833333336</v>
      </c>
      <c r="B34" s="12">
        <v>871</v>
      </c>
      <c r="C34" s="12">
        <v>1149</v>
      </c>
      <c r="D34" s="12">
        <v>1509</v>
      </c>
      <c r="E34" s="12">
        <v>460</v>
      </c>
      <c r="F34" s="12">
        <v>426</v>
      </c>
      <c r="G34" s="12">
        <v>417</v>
      </c>
      <c r="H34" s="15">
        <f>AVERAGE(E34:G34)*1000/49350</f>
      </c>
      <c r="I34" s="17"/>
      <c r="J34" s="34">
        <v>400</v>
      </c>
      <c r="K34" s="35">
        <v>39586047.58250192</v>
      </c>
      <c r="L34" s="35">
        <v>52220859.55487337</v>
      </c>
      <c r="M34" s="35">
        <v>68582486.5694551</v>
      </c>
    </row>
    <row x14ac:dyDescent="0.25" r="35" customHeight="1" ht="18">
      <c r="A35" s="14">
        <v>45380.395833333336</v>
      </c>
      <c r="B35" s="12">
        <v>1019</v>
      </c>
      <c r="C35" s="12">
        <v>1274</v>
      </c>
      <c r="D35" s="12">
        <v>1280</v>
      </c>
      <c r="E35" s="12">
        <v>362</v>
      </c>
      <c r="F35" s="12">
        <v>413</v>
      </c>
      <c r="G35" s="12">
        <v>418</v>
      </c>
      <c r="H35" s="15">
        <f>AVERAGE(E35:G35)*1000/49350</f>
      </c>
      <c r="I35" s="17"/>
      <c r="J35" s="34">
        <v>400</v>
      </c>
      <c r="K35" s="35">
        <v>50582715.84241408</v>
      </c>
      <c r="L35" s="35">
        <v>63240804.69404861</v>
      </c>
      <c r="M35" s="35">
        <v>63538642.07879296</v>
      </c>
    </row>
    <row x14ac:dyDescent="0.25" r="36" customHeight="1" ht="18">
      <c r="A36" s="14">
        <v>45384.395833333336</v>
      </c>
      <c r="B36" s="12">
        <v>908</v>
      </c>
      <c r="C36" s="12">
        <v>1126</v>
      </c>
      <c r="D36" s="12">
        <v>1257</v>
      </c>
      <c r="E36" s="12">
        <v>460</v>
      </c>
      <c r="F36" s="12">
        <v>426</v>
      </c>
      <c r="G36" s="12">
        <v>417</v>
      </c>
      <c r="H36" s="15">
        <f>AVERAGE(E36:G36)*1000/49350</f>
      </c>
      <c r="I36" s="17"/>
      <c r="J36" s="34">
        <v>400</v>
      </c>
      <c r="K36" s="35">
        <v>41267659.24788949</v>
      </c>
      <c r="L36" s="35">
        <v>51175533.384497315</v>
      </c>
      <c r="M36" s="35">
        <v>57129347.65924789</v>
      </c>
    </row>
    <row x14ac:dyDescent="0.25" r="37" customHeight="1" ht="18">
      <c r="A37" s="14">
        <v>45385.395833333336</v>
      </c>
      <c r="B37" s="12">
        <v>4034</v>
      </c>
      <c r="C37" s="12">
        <v>4326</v>
      </c>
      <c r="D37" s="12">
        <v>5647</v>
      </c>
      <c r="E37" s="12">
        <v>460</v>
      </c>
      <c r="F37" s="12">
        <v>426</v>
      </c>
      <c r="G37" s="12">
        <v>417</v>
      </c>
      <c r="H37" s="15">
        <f>AVERAGE(E37:G37)*1000/49350</f>
      </c>
      <c r="I37" s="17"/>
      <c r="J37" s="34">
        <v>100</v>
      </c>
      <c r="K37" s="35">
        <v>45835280.122793555</v>
      </c>
      <c r="L37" s="35">
        <v>49153054.4896393</v>
      </c>
      <c r="M37" s="35">
        <v>64162574.82732157</v>
      </c>
    </row>
    <row x14ac:dyDescent="0.25" r="38" customHeight="1" ht="18">
      <c r="A38" s="14">
        <v>45386.395833333336</v>
      </c>
      <c r="B38" s="12">
        <v>2897</v>
      </c>
      <c r="C38" s="12">
        <v>3073</v>
      </c>
      <c r="D38" s="12">
        <v>4128</v>
      </c>
      <c r="E38" s="12">
        <v>460</v>
      </c>
      <c r="F38" s="12">
        <v>426</v>
      </c>
      <c r="G38" s="12">
        <v>417</v>
      </c>
      <c r="H38" s="15">
        <f>AVERAGE(E38:G38)*1000/49350</f>
      </c>
      <c r="I38" s="17"/>
      <c r="J38" s="34">
        <v>100</v>
      </c>
      <c r="K38" s="35">
        <v>32916412.125863392</v>
      </c>
      <c r="L38" s="35">
        <v>34916166.53875671</v>
      </c>
      <c r="M38" s="35">
        <v>46903330.7751343</v>
      </c>
    </row>
    <row x14ac:dyDescent="0.25" r="39" customHeight="1" ht="18">
      <c r="A39" s="14">
        <v>45387.395833333336</v>
      </c>
      <c r="B39" s="12">
        <v>3060</v>
      </c>
      <c r="C39" s="12">
        <v>3657</v>
      </c>
      <c r="D39" s="12">
        <v>4120</v>
      </c>
      <c r="E39" s="12">
        <v>421</v>
      </c>
      <c r="F39" s="12">
        <v>463</v>
      </c>
      <c r="G39" s="12">
        <v>393</v>
      </c>
      <c r="H39" s="15">
        <f>AVERAGE(E39:G39)*1000/49350</f>
      </c>
      <c r="I39" s="17"/>
      <c r="J39" s="34">
        <v>100</v>
      </c>
      <c r="K39" s="35">
        <v>35476350.82223962</v>
      </c>
      <c r="L39" s="35">
        <v>42397717.30618637</v>
      </c>
      <c r="M39" s="35">
        <v>47765544.24432263</v>
      </c>
    </row>
    <row x14ac:dyDescent="0.25" r="40" customHeight="1" ht="18">
      <c r="A40" s="14">
        <v>45390.395833333336</v>
      </c>
      <c r="B40" s="12">
        <v>3374</v>
      </c>
      <c r="C40" s="12">
        <v>3434</v>
      </c>
      <c r="D40" s="12">
        <v>4219</v>
      </c>
      <c r="E40" s="12">
        <v>421</v>
      </c>
      <c r="F40" s="12">
        <v>463</v>
      </c>
      <c r="G40" s="12">
        <v>393</v>
      </c>
      <c r="H40" s="15">
        <f>AVERAGE(E40:G40)*1000/49350</f>
      </c>
      <c r="I40" s="17"/>
      <c r="J40" s="34">
        <v>100</v>
      </c>
      <c r="K40" s="35">
        <v>39116734.53406421</v>
      </c>
      <c r="L40" s="35">
        <v>39812349.25606891</v>
      </c>
      <c r="M40" s="35">
        <v>48913308.53563038</v>
      </c>
    </row>
    <row x14ac:dyDescent="0.25" r="41" customHeight="1" ht="18">
      <c r="A41" s="14">
        <v>45391.395833333336</v>
      </c>
      <c r="B41" s="12">
        <v>3583</v>
      </c>
      <c r="C41" s="12">
        <v>3934</v>
      </c>
      <c r="D41" s="12">
        <v>4258</v>
      </c>
      <c r="E41" s="12">
        <v>421</v>
      </c>
      <c r="F41" s="12">
        <v>463</v>
      </c>
      <c r="G41" s="12">
        <v>393</v>
      </c>
      <c r="H41" s="15">
        <f>AVERAGE(E41:G41)*1000/49350</f>
      </c>
      <c r="I41" s="17"/>
      <c r="J41" s="34">
        <v>100</v>
      </c>
      <c r="K41" s="35">
        <v>41539792.48238058</v>
      </c>
      <c r="L41" s="35">
        <v>45609138.60610806</v>
      </c>
      <c r="M41" s="35">
        <v>49365458.10493343</v>
      </c>
    </row>
    <row x14ac:dyDescent="0.25" r="42" customHeight="1" ht="18">
      <c r="A42" s="14">
        <v>45393.395833333336</v>
      </c>
      <c r="B42" s="12">
        <v>3660</v>
      </c>
      <c r="C42" s="12">
        <v>4301</v>
      </c>
      <c r="D42" s="12">
        <v>4416</v>
      </c>
      <c r="E42" s="12">
        <v>421</v>
      </c>
      <c r="F42" s="12">
        <v>463</v>
      </c>
      <c r="G42" s="12">
        <v>393</v>
      </c>
      <c r="H42" s="15">
        <f>AVERAGE(E42:G42)*1000/49350</f>
      </c>
      <c r="I42" s="17"/>
      <c r="J42" s="34">
        <v>100</v>
      </c>
      <c r="K42" s="35">
        <v>42432498.042286605</v>
      </c>
      <c r="L42" s="35">
        <v>49863981.9890368</v>
      </c>
      <c r="M42" s="35">
        <v>51197243.539545804</v>
      </c>
    </row>
    <row x14ac:dyDescent="0.25" r="43" customHeight="1" ht="18">
      <c r="A43" s="14">
        <v>45394.395833333336</v>
      </c>
      <c r="B43" s="12">
        <v>3166</v>
      </c>
      <c r="C43" s="12">
        <v>3899</v>
      </c>
      <c r="D43" s="12">
        <v>4071</v>
      </c>
      <c r="E43" s="12">
        <v>421</v>
      </c>
      <c r="F43" s="12">
        <v>463</v>
      </c>
      <c r="G43" s="12">
        <v>393</v>
      </c>
      <c r="H43" s="15">
        <f>AVERAGE(E43:G43)*1000/49350</f>
      </c>
      <c r="I43" s="17"/>
      <c r="J43" s="34">
        <v>100</v>
      </c>
      <c r="K43" s="35">
        <v>36705270.16444792</v>
      </c>
      <c r="L43" s="35">
        <v>45203363.35160532</v>
      </c>
      <c r="M43" s="35">
        <v>47197458.88801879</v>
      </c>
    </row>
    <row x14ac:dyDescent="0.25" r="44" customHeight="1" ht="18">
      <c r="A44" s="14">
        <v>45397.604166666664</v>
      </c>
      <c r="B44" s="12">
        <v>2887</v>
      </c>
      <c r="C44" s="12">
        <v>4222</v>
      </c>
      <c r="D44" s="12">
        <v>4415</v>
      </c>
      <c r="E44" s="12">
        <v>421</v>
      </c>
      <c r="F44" s="12">
        <v>463</v>
      </c>
      <c r="G44" s="12">
        <v>393</v>
      </c>
      <c r="H44" s="15">
        <f>AVERAGE(E44:G44)*1000/49350</f>
      </c>
      <c r="I44" s="17"/>
      <c r="J44" s="34">
        <v>100</v>
      </c>
      <c r="K44" s="35">
        <v>33470661.707126074</v>
      </c>
      <c r="L44" s="35">
        <v>48948089.27173062</v>
      </c>
      <c r="M44" s="35">
        <v>51185649.960845724</v>
      </c>
    </row>
    <row x14ac:dyDescent="0.25" r="45" customHeight="1" ht="18">
      <c r="A45" s="14">
        <v>45398.4375</v>
      </c>
      <c r="B45" s="12">
        <v>2121</v>
      </c>
      <c r="C45" s="12">
        <v>3107</v>
      </c>
      <c r="D45" s="12">
        <v>3081</v>
      </c>
      <c r="E45" s="12">
        <v>421</v>
      </c>
      <c r="F45" s="12">
        <v>463</v>
      </c>
      <c r="G45" s="12">
        <v>393</v>
      </c>
      <c r="H45" s="15">
        <f>AVERAGE(E45:G45)*1000/49350</f>
      </c>
      <c r="I45" s="17"/>
      <c r="J45" s="34">
        <v>200</v>
      </c>
      <c r="K45" s="35">
        <v>49179960.84573218</v>
      </c>
      <c r="L45" s="35">
        <v>72042498.0422866</v>
      </c>
      <c r="M45" s="35">
        <v>71439631.94988254</v>
      </c>
    </row>
    <row x14ac:dyDescent="0.25" r="46" customHeight="1" ht="18">
      <c r="A46" s="14">
        <v>45399.4375</v>
      </c>
      <c r="B46" s="12">
        <v>2067</v>
      </c>
      <c r="C46" s="12">
        <v>2702</v>
      </c>
      <c r="D46" s="12">
        <v>2929</v>
      </c>
      <c r="E46" s="12">
        <v>421</v>
      </c>
      <c r="F46" s="12">
        <v>463</v>
      </c>
      <c r="G46" s="12">
        <v>393</v>
      </c>
      <c r="H46" s="15">
        <f>AVERAGE(E46:G46)*1000/49350</f>
      </c>
      <c r="I46" s="17"/>
      <c r="J46" s="34">
        <v>200</v>
      </c>
      <c r="K46" s="35">
        <v>47927854.346123725</v>
      </c>
      <c r="L46" s="35">
        <v>62651699.29522318</v>
      </c>
      <c r="M46" s="35">
        <v>67915184.02505873</v>
      </c>
    </row>
    <row x14ac:dyDescent="0.25" r="47" customHeight="1" ht="18">
      <c r="A47" s="14">
        <v>45400.4375</v>
      </c>
      <c r="B47" s="12">
        <v>2020</v>
      </c>
      <c r="C47" s="12">
        <v>3026</v>
      </c>
      <c r="D47" s="12">
        <v>2383</v>
      </c>
      <c r="E47" s="12">
        <v>421</v>
      </c>
      <c r="F47" s="12">
        <v>463</v>
      </c>
      <c r="G47" s="12">
        <v>393</v>
      </c>
      <c r="H47" s="15">
        <f>AVERAGE(E47:G47)*1000/49350</f>
      </c>
      <c r="I47" s="17"/>
      <c r="J47" s="34">
        <v>200.00000000000003</v>
      </c>
      <c r="K47" s="35">
        <v>46838057.948316365</v>
      </c>
      <c r="L47" s="35">
        <v>70164338.29287392</v>
      </c>
      <c r="M47" s="35">
        <v>55254996.08457322</v>
      </c>
    </row>
    <row x14ac:dyDescent="0.25" r="48" customHeight="1" ht="18">
      <c r="A48" s="14">
        <v>45401.4375</v>
      </c>
      <c r="B48" s="12">
        <v>1703</v>
      </c>
      <c r="C48" s="12">
        <v>2194</v>
      </c>
      <c r="D48" s="12">
        <v>1867</v>
      </c>
      <c r="E48" s="12">
        <v>430</v>
      </c>
      <c r="F48" s="12">
        <v>388</v>
      </c>
      <c r="G48" s="12">
        <v>428</v>
      </c>
      <c r="H48" s="15">
        <f>AVERAGE(E48:G48)*1000/49350</f>
      </c>
      <c r="I48" s="17"/>
      <c r="J48" s="34">
        <v>200</v>
      </c>
      <c r="K48" s="35">
        <v>40470168.53932585</v>
      </c>
      <c r="L48" s="35">
        <v>52138314.60674158</v>
      </c>
      <c r="M48" s="35">
        <v>44367471.910112366</v>
      </c>
    </row>
    <row x14ac:dyDescent="0.25" r="49" customHeight="1" ht="18">
      <c r="A49" s="14">
        <v>45404.4375</v>
      </c>
      <c r="B49" s="12">
        <v>1703</v>
      </c>
      <c r="C49" s="12">
        <v>2090</v>
      </c>
      <c r="D49" s="12">
        <v>2583</v>
      </c>
      <c r="E49" s="12">
        <v>430</v>
      </c>
      <c r="F49" s="12">
        <v>388</v>
      </c>
      <c r="G49" s="12">
        <v>428</v>
      </c>
      <c r="H49" s="15">
        <f>AVERAGE(E49:G49)*1000/49350</f>
      </c>
      <c r="I49" s="17"/>
      <c r="J49" s="34">
        <v>200</v>
      </c>
      <c r="K49" s="35">
        <v>40470168.53932585</v>
      </c>
      <c r="L49" s="35">
        <v>49666853.93258428</v>
      </c>
      <c r="M49" s="35">
        <v>61382528.08988765</v>
      </c>
    </row>
    <row x14ac:dyDescent="0.25" r="50" customHeight="1" ht="18">
      <c r="A50" s="14">
        <v>45405.4375</v>
      </c>
      <c r="B50" s="12">
        <v>1633</v>
      </c>
      <c r="C50" s="12">
        <v>1659</v>
      </c>
      <c r="D50" s="12">
        <v>1957</v>
      </c>
      <c r="E50" s="12">
        <v>430</v>
      </c>
      <c r="F50" s="12">
        <v>388</v>
      </c>
      <c r="G50" s="12">
        <v>428</v>
      </c>
      <c r="H50" s="15">
        <f>AVERAGE(E50:G50)*1000/49350</f>
      </c>
      <c r="I50" s="17"/>
      <c r="J50" s="34">
        <v>200</v>
      </c>
      <c r="K50" s="35">
        <v>38806685.39325843</v>
      </c>
      <c r="L50" s="35">
        <v>39424550.56179776</v>
      </c>
      <c r="M50" s="35">
        <v>46506235.95505618</v>
      </c>
    </row>
    <row x14ac:dyDescent="0.25" r="51" customHeight="1" ht="18">
      <c r="A51" s="14">
        <v>45406.4375</v>
      </c>
      <c r="B51" s="12">
        <v>4143</v>
      </c>
      <c r="C51" s="12">
        <v>4420</v>
      </c>
      <c r="D51" s="12">
        <v>5063</v>
      </c>
      <c r="E51" s="12">
        <v>466</v>
      </c>
      <c r="F51" s="12">
        <v>484</v>
      </c>
      <c r="G51" s="12">
        <v>417</v>
      </c>
      <c r="H51" s="15">
        <f>AVERAGE(E51:G51)*1000/49350</f>
      </c>
      <c r="I51" s="17"/>
      <c r="J51" s="34">
        <v>100</v>
      </c>
      <c r="K51" s="35">
        <v>44869871.98244331</v>
      </c>
      <c r="L51" s="35">
        <v>47869861.00950988</v>
      </c>
      <c r="M51" s="35">
        <v>54833734.45501097</v>
      </c>
    </row>
    <row x14ac:dyDescent="0.25" r="52" customHeight="1" ht="18">
      <c r="A52" s="14">
        <v>45407.4375</v>
      </c>
      <c r="B52" s="12">
        <v>1983</v>
      </c>
      <c r="C52" s="12">
        <v>2270</v>
      </c>
      <c r="D52" s="12">
        <v>2306</v>
      </c>
      <c r="E52" s="12">
        <v>466</v>
      </c>
      <c r="F52" s="12">
        <v>484</v>
      </c>
      <c r="G52" s="12">
        <v>417</v>
      </c>
      <c r="H52" s="15">
        <f>AVERAGE(E52:G52)*1000/49350</f>
      </c>
      <c r="I52" s="17"/>
      <c r="J52" s="34">
        <v>200</v>
      </c>
      <c r="K52" s="35">
        <v>42952911.48500366</v>
      </c>
      <c r="L52" s="35">
        <v>49169495.24506218</v>
      </c>
      <c r="M52" s="35">
        <v>49949275.78639356</v>
      </c>
    </row>
    <row x14ac:dyDescent="0.25" r="53" customHeight="1" ht="18">
      <c r="A53" s="14">
        <v>45408.4375</v>
      </c>
      <c r="B53" s="12">
        <v>2460</v>
      </c>
      <c r="C53" s="12">
        <v>2483</v>
      </c>
      <c r="D53" s="12">
        <v>3062</v>
      </c>
      <c r="E53" s="12">
        <v>466</v>
      </c>
      <c r="F53" s="12">
        <v>484</v>
      </c>
      <c r="G53" s="12">
        <v>417</v>
      </c>
      <c r="H53" s="15">
        <f>AVERAGE(E53:G53)*1000/49350</f>
      </c>
      <c r="I53" s="17"/>
      <c r="J53" s="34">
        <v>200</v>
      </c>
      <c r="K53" s="35">
        <v>53285003.65764448</v>
      </c>
      <c r="L53" s="35">
        <v>53783196.78127286</v>
      </c>
      <c r="M53" s="35">
        <v>66324667.1543526</v>
      </c>
    </row>
  </sheetData>
  <mergeCells count="4">
    <mergeCell ref="A1:M1"/>
    <mergeCell ref="B2:D2"/>
    <mergeCell ref="E2:H2"/>
    <mergeCell ref="I4:I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7"/>
  <sheetViews>
    <sheetView workbookViewId="0"/>
  </sheetViews>
  <sheetFormatPr defaultRowHeight="15" x14ac:dyDescent="0.25"/>
  <cols>
    <col min="1" max="1" style="20" width="14.005" customWidth="1" bestFit="1"/>
    <col min="2" max="2" style="21" width="13.005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3" width="13.005" customWidth="1" bestFit="1"/>
    <col min="9" max="9" style="24" width="13.005" customWidth="1" bestFit="1"/>
    <col min="10" max="10" style="36" width="13.005" customWidth="1" bestFit="1"/>
    <col min="11" max="11" style="37" width="13.005" customWidth="1" bestFit="1"/>
    <col min="12" max="12" style="37" width="13.005" customWidth="1" bestFit="1"/>
    <col min="13" max="13" style="37" width="13.005" customWidth="1" bestFit="1"/>
  </cols>
  <sheetData>
    <row x14ac:dyDescent="0.25" r="1" customHeight="1" ht="18">
      <c r="A1" s="26" t="s">
        <v>16</v>
      </c>
      <c r="B1" s="25"/>
      <c r="C1" s="25"/>
      <c r="D1" s="25"/>
      <c r="E1" s="25"/>
      <c r="F1" s="25"/>
      <c r="G1" s="25"/>
      <c r="H1" s="27"/>
      <c r="I1" s="28"/>
      <c r="J1" s="26"/>
      <c r="K1" s="29"/>
      <c r="L1" s="29"/>
      <c r="M1" s="29"/>
    </row>
    <row x14ac:dyDescent="0.25" r="2" customHeight="1" ht="18">
      <c r="A2" s="6" t="s">
        <v>2</v>
      </c>
      <c r="B2" s="7" t="s">
        <v>3</v>
      </c>
      <c r="C2" s="7"/>
      <c r="D2" s="7"/>
      <c r="E2" s="7" t="s">
        <v>4</v>
      </c>
      <c r="F2" s="7"/>
      <c r="G2" s="7"/>
      <c r="H2" s="8"/>
      <c r="I2" s="9" t="s">
        <v>5</v>
      </c>
      <c r="J2" s="32" t="s">
        <v>6</v>
      </c>
      <c r="K2" s="33" t="s">
        <v>7</v>
      </c>
      <c r="L2" s="33"/>
      <c r="M2" s="33"/>
    </row>
    <row x14ac:dyDescent="0.25" r="3" customHeight="1" ht="18">
      <c r="A3" s="6"/>
      <c r="B3" s="10" t="s">
        <v>8</v>
      </c>
      <c r="C3" s="10" t="s">
        <v>9</v>
      </c>
      <c r="D3" s="10" t="s">
        <v>10</v>
      </c>
      <c r="E3" s="12">
        <v>1</v>
      </c>
      <c r="F3" s="12">
        <v>2</v>
      </c>
      <c r="G3" s="12">
        <v>3</v>
      </c>
      <c r="H3" s="11" t="s">
        <v>11</v>
      </c>
      <c r="I3" s="9"/>
      <c r="J3" s="32"/>
      <c r="K3" s="33" t="s">
        <v>8</v>
      </c>
      <c r="L3" s="33" t="s">
        <v>9</v>
      </c>
      <c r="M3" s="33" t="s">
        <v>10</v>
      </c>
    </row>
    <row x14ac:dyDescent="0.25" r="4" customHeight="1" ht="18">
      <c r="A4" s="14">
        <v>45341.625</v>
      </c>
      <c r="B4" s="12">
        <v>900</v>
      </c>
      <c r="C4" s="12">
        <v>918</v>
      </c>
      <c r="D4" s="12">
        <v>756</v>
      </c>
      <c r="E4" s="12">
        <v>389</v>
      </c>
      <c r="F4" s="12">
        <v>382</v>
      </c>
      <c r="G4" s="12">
        <v>358</v>
      </c>
      <c r="H4" s="15">
        <f>AVERAGE(E4:G4)*1000/47400</f>
      </c>
      <c r="I4" s="16" t="s">
        <v>12</v>
      </c>
      <c r="J4" s="34">
        <v>40</v>
      </c>
      <c r="K4" s="35">
        <v>4534278.122232064</v>
      </c>
      <c r="L4" s="35">
        <v>4624963.684676705</v>
      </c>
      <c r="M4" s="35">
        <v>3808793.6226749336</v>
      </c>
    </row>
    <row x14ac:dyDescent="0.25" r="5" customHeight="1" ht="18">
      <c r="A5" s="14">
        <v>45342.395833333336</v>
      </c>
      <c r="B5" s="12">
        <v>2025</v>
      </c>
      <c r="C5" s="12">
        <v>2926</v>
      </c>
      <c r="D5" s="12">
        <v>3330</v>
      </c>
      <c r="E5" s="12">
        <v>389</v>
      </c>
      <c r="F5" s="12">
        <v>382</v>
      </c>
      <c r="G5" s="12">
        <v>358</v>
      </c>
      <c r="H5" s="15">
        <f>AVERAGE(E5:G5)*1000/47400</f>
      </c>
      <c r="I5" s="17"/>
      <c r="J5" s="34">
        <v>40</v>
      </c>
      <c r="K5" s="35">
        <v>10202125.775022143</v>
      </c>
      <c r="L5" s="35">
        <v>14741441.984056687</v>
      </c>
      <c r="M5" s="35">
        <v>16776829.052258637</v>
      </c>
    </row>
    <row x14ac:dyDescent="0.25" r="6" customHeight="1" ht="18">
      <c r="A6" s="14">
        <v>45343.395833333336</v>
      </c>
      <c r="B6" s="12">
        <v>1599</v>
      </c>
      <c r="C6" s="12">
        <v>1825</v>
      </c>
      <c r="D6" s="12">
        <v>1541</v>
      </c>
      <c r="E6" s="12">
        <v>358</v>
      </c>
      <c r="F6" s="12">
        <v>377</v>
      </c>
      <c r="G6" s="12">
        <v>401</v>
      </c>
      <c r="H6" s="15">
        <f>AVERAGE(E6:G6)*1000/47400</f>
      </c>
      <c r="I6" s="17"/>
      <c r="J6" s="34">
        <v>400</v>
      </c>
      <c r="K6" s="35">
        <v>80062605.63380282</v>
      </c>
      <c r="L6" s="35">
        <v>91378521.12676056</v>
      </c>
      <c r="M6" s="35">
        <v>77158521.12676056</v>
      </c>
    </row>
    <row x14ac:dyDescent="0.25" r="7" customHeight="1" ht="18">
      <c r="A7" s="14">
        <v>45344.395833333336</v>
      </c>
      <c r="B7" s="12">
        <v>4286</v>
      </c>
      <c r="C7" s="12">
        <v>6112</v>
      </c>
      <c r="D7" s="12">
        <v>5132</v>
      </c>
      <c r="E7" s="12">
        <v>358</v>
      </c>
      <c r="F7" s="12">
        <v>377</v>
      </c>
      <c r="G7" s="12">
        <v>401</v>
      </c>
      <c r="H7" s="15">
        <f>AVERAGE(E7:G7)*1000/47400</f>
      </c>
      <c r="I7" s="17"/>
      <c r="J7" s="34">
        <v>400</v>
      </c>
      <c r="K7" s="35">
        <v>214601830.98591548</v>
      </c>
      <c r="L7" s="35">
        <v>306030422.53521127</v>
      </c>
      <c r="M7" s="35">
        <v>256961408.45070422</v>
      </c>
    </row>
    <row x14ac:dyDescent="0.25" r="8" customHeight="1" ht="18">
      <c r="A8" s="14">
        <v>45345.395833333336</v>
      </c>
      <c r="B8" s="12">
        <v>4140</v>
      </c>
      <c r="C8" s="12">
        <v>8415</v>
      </c>
      <c r="D8" s="12">
        <v>7369</v>
      </c>
      <c r="E8" s="12">
        <v>358</v>
      </c>
      <c r="F8" s="12">
        <v>377</v>
      </c>
      <c r="G8" s="12">
        <v>401</v>
      </c>
      <c r="H8" s="15">
        <f>AVERAGE(E8:G8)*1000/47400</f>
      </c>
      <c r="I8" s="17"/>
      <c r="J8" s="34">
        <v>400</v>
      </c>
      <c r="K8" s="35">
        <v>207291549.29577464</v>
      </c>
      <c r="L8" s="35">
        <v>421342605.6338028</v>
      </c>
      <c r="M8" s="35">
        <v>368968943.6619718</v>
      </c>
    </row>
    <row x14ac:dyDescent="0.25" r="9" customHeight="1" ht="18">
      <c r="A9" s="14">
        <v>45348.395833333336</v>
      </c>
      <c r="B9" s="12">
        <v>4848</v>
      </c>
      <c r="C9" s="12">
        <v>5949</v>
      </c>
      <c r="D9" s="12">
        <v>5200</v>
      </c>
      <c r="E9" s="12">
        <v>348</v>
      </c>
      <c r="F9" s="12">
        <v>314</v>
      </c>
      <c r="G9" s="12">
        <v>357</v>
      </c>
      <c r="H9" s="15">
        <f>AVERAGE(E9:G9)*1000/49350</f>
      </c>
      <c r="I9" s="17"/>
      <c r="J9" s="34">
        <v>400</v>
      </c>
      <c r="K9" s="35">
        <v>281745397.4484789</v>
      </c>
      <c r="L9" s="35">
        <v>345730893.0323847</v>
      </c>
      <c r="M9" s="35">
        <v>302202158.9793916</v>
      </c>
    </row>
    <row x14ac:dyDescent="0.25" r="10" customHeight="1" ht="18">
      <c r="A10" s="14">
        <v>45349.395833333336</v>
      </c>
      <c r="B10" s="12">
        <v>5666</v>
      </c>
      <c r="C10" s="12">
        <v>6057</v>
      </c>
      <c r="D10" s="12">
        <v>5621</v>
      </c>
      <c r="E10" s="12">
        <v>348</v>
      </c>
      <c r="F10" s="12">
        <v>314</v>
      </c>
      <c r="G10" s="12">
        <v>357</v>
      </c>
      <c r="H10" s="15">
        <f>AVERAGE(E10:G10)*1000/49350</f>
      </c>
      <c r="I10" s="17"/>
      <c r="J10" s="34">
        <v>400</v>
      </c>
      <c r="K10" s="35">
        <v>329284121.68792933</v>
      </c>
      <c r="L10" s="35">
        <v>352007399.4111874</v>
      </c>
      <c r="M10" s="35">
        <v>326668910.69676155</v>
      </c>
    </row>
    <row x14ac:dyDescent="0.25" r="11" customHeight="1" ht="18">
      <c r="A11" s="14">
        <v>45350.395833333336</v>
      </c>
      <c r="B11" s="12">
        <v>5425</v>
      </c>
      <c r="C11" s="12">
        <v>4170</v>
      </c>
      <c r="D11" s="12">
        <v>6136</v>
      </c>
      <c r="E11" s="12">
        <v>348</v>
      </c>
      <c r="F11" s="12">
        <v>314</v>
      </c>
      <c r="G11" s="12">
        <v>357</v>
      </c>
      <c r="H11" s="15">
        <f>AVERAGE(E11:G11)*1000/49350</f>
      </c>
      <c r="I11" s="17"/>
      <c r="J11" s="34">
        <v>400</v>
      </c>
      <c r="K11" s="35">
        <v>315278213.9352306</v>
      </c>
      <c r="L11" s="35">
        <v>242342885.18155053</v>
      </c>
      <c r="M11" s="35">
        <v>356598547.595682</v>
      </c>
    </row>
    <row x14ac:dyDescent="0.25" r="12" customHeight="1" ht="18">
      <c r="A12" s="14">
        <v>45351.395833333336</v>
      </c>
      <c r="B12" s="12">
        <v>6025</v>
      </c>
      <c r="C12" s="12">
        <v>6905</v>
      </c>
      <c r="D12" s="12">
        <v>5135</v>
      </c>
      <c r="E12" s="12">
        <v>348</v>
      </c>
      <c r="F12" s="12">
        <v>314</v>
      </c>
      <c r="G12" s="12">
        <v>357</v>
      </c>
      <c r="H12" s="15">
        <f>AVERAGE(E12:G12)*1000/49350</f>
      </c>
      <c r="I12" s="17"/>
      <c r="J12" s="34">
        <v>400</v>
      </c>
      <c r="K12" s="35">
        <v>350147693.8174681</v>
      </c>
      <c r="L12" s="35">
        <v>401289597.64474976</v>
      </c>
      <c r="M12" s="35">
        <v>298424631.9921492</v>
      </c>
    </row>
    <row x14ac:dyDescent="0.25" r="13" customHeight="1" ht="18">
      <c r="A13" s="14">
        <v>45352.395833333336</v>
      </c>
      <c r="B13" s="12">
        <v>6254</v>
      </c>
      <c r="C13" s="12">
        <v>6482</v>
      </c>
      <c r="D13" s="12">
        <v>7000</v>
      </c>
      <c r="E13" s="12">
        <v>348</v>
      </c>
      <c r="F13" s="12">
        <v>314</v>
      </c>
      <c r="G13" s="12">
        <v>357</v>
      </c>
      <c r="H13" s="15">
        <f>AVERAGE(E13:G13)*1000/49350</f>
      </c>
      <c r="I13" s="17"/>
      <c r="J13" s="34">
        <v>385.35337384074194</v>
      </c>
      <c r="K13" s="35">
        <v>350147693.8174681</v>
      </c>
      <c r="L13" s="35">
        <v>376706614.3277723</v>
      </c>
      <c r="M13" s="35">
        <v>406810598.626104</v>
      </c>
    </row>
    <row x14ac:dyDescent="0.25" r="14" customHeight="1" ht="18">
      <c r="A14" s="14">
        <v>45355.395833333336</v>
      </c>
      <c r="B14" s="12">
        <v>7241</v>
      </c>
      <c r="C14" s="12">
        <v>6302</v>
      </c>
      <c r="D14" s="12">
        <v>6253</v>
      </c>
      <c r="E14" s="12">
        <v>348</v>
      </c>
      <c r="F14" s="12">
        <v>314</v>
      </c>
      <c r="G14" s="12">
        <v>357</v>
      </c>
      <c r="H14" s="15">
        <f>AVERAGE(E14:G14)*1000/49350</f>
      </c>
      <c r="I14" s="17"/>
      <c r="J14" s="34">
        <v>400</v>
      </c>
      <c r="K14" s="35">
        <v>420816506.3788027</v>
      </c>
      <c r="L14" s="35">
        <v>366245770.36310107</v>
      </c>
      <c r="M14" s="35">
        <v>363398096.17271835</v>
      </c>
    </row>
    <row x14ac:dyDescent="0.25" r="15" customHeight="1" ht="18">
      <c r="A15" s="14">
        <v>45356.395833333336</v>
      </c>
      <c r="B15" s="12">
        <v>6208</v>
      </c>
      <c r="C15" s="12">
        <v>7228</v>
      </c>
      <c r="D15" s="12">
        <v>6410</v>
      </c>
      <c r="E15" s="12">
        <v>393</v>
      </c>
      <c r="F15" s="12">
        <v>355</v>
      </c>
      <c r="G15" s="12">
        <v>394</v>
      </c>
      <c r="H15" s="15">
        <f>AVERAGE(E15:G15)*1000/49350</f>
      </c>
      <c r="I15" s="17"/>
      <c r="J15" s="34">
        <v>400</v>
      </c>
      <c r="K15" s="35">
        <v>321924483.3625219</v>
      </c>
      <c r="L15" s="35">
        <v>374818003.50262696</v>
      </c>
      <c r="M15" s="35">
        <v>332399474.60595447</v>
      </c>
    </row>
    <row x14ac:dyDescent="0.25" r="16" customHeight="1" ht="18">
      <c r="A16" s="14">
        <v>45357.395833333336</v>
      </c>
      <c r="B16" s="12">
        <v>6046</v>
      </c>
      <c r="C16" s="12">
        <v>7448</v>
      </c>
      <c r="D16" s="12">
        <v>6204</v>
      </c>
      <c r="E16" s="12">
        <v>393</v>
      </c>
      <c r="F16" s="12">
        <v>355</v>
      </c>
      <c r="G16" s="12">
        <v>394</v>
      </c>
      <c r="H16" s="15">
        <f>AVERAGE(E16:G16)*1000/49350</f>
      </c>
      <c r="I16" s="17"/>
      <c r="J16" s="34">
        <v>400</v>
      </c>
      <c r="K16" s="35">
        <v>313523747.81085813</v>
      </c>
      <c r="L16" s="35">
        <v>386226409.80735546</v>
      </c>
      <c r="M16" s="35">
        <v>321717057.793345</v>
      </c>
    </row>
    <row x14ac:dyDescent="0.25" r="17" customHeight="1" ht="18">
      <c r="A17" s="14">
        <v>45358.395833333336</v>
      </c>
      <c r="B17" s="12">
        <v>7872</v>
      </c>
      <c r="C17" s="12">
        <v>7516</v>
      </c>
      <c r="D17" s="12">
        <v>6174</v>
      </c>
      <c r="E17" s="12">
        <v>393</v>
      </c>
      <c r="F17" s="12">
        <v>355</v>
      </c>
      <c r="G17" s="12">
        <v>394</v>
      </c>
      <c r="H17" s="15">
        <f>AVERAGE(E17:G17)*1000/49350</f>
      </c>
      <c r="I17" s="17"/>
      <c r="J17" s="34">
        <v>400</v>
      </c>
      <c r="K17" s="35">
        <v>408213520.14010507</v>
      </c>
      <c r="L17" s="35">
        <v>389752644.4833625</v>
      </c>
      <c r="M17" s="35">
        <v>320161366.0245184</v>
      </c>
    </row>
    <row x14ac:dyDescent="0.25" r="18" customHeight="1" ht="18">
      <c r="A18" s="14">
        <v>45359.395833333336</v>
      </c>
      <c r="B18" s="12">
        <v>6801</v>
      </c>
      <c r="C18" s="12">
        <v>7177</v>
      </c>
      <c r="D18" s="12">
        <v>6533</v>
      </c>
      <c r="E18" s="12">
        <v>393</v>
      </c>
      <c r="F18" s="12">
        <v>355</v>
      </c>
      <c r="G18" s="12">
        <v>394</v>
      </c>
      <c r="H18" s="15">
        <f>AVERAGE(E18:G18)*1000/49350</f>
      </c>
      <c r="I18" s="17"/>
      <c r="J18" s="34">
        <v>400</v>
      </c>
      <c r="K18" s="35">
        <v>352675323.9929947</v>
      </c>
      <c r="L18" s="35">
        <v>372173327.4956217</v>
      </c>
      <c r="M18" s="35">
        <v>338777810.85814357</v>
      </c>
    </row>
    <row x14ac:dyDescent="0.25" r="19" customHeight="1" ht="18">
      <c r="A19" s="14">
        <v>45363.395833333336</v>
      </c>
      <c r="B19" s="12">
        <v>9002</v>
      </c>
      <c r="C19" s="12">
        <v>13647</v>
      </c>
      <c r="D19" s="12">
        <v>8610</v>
      </c>
      <c r="E19" s="12">
        <v>393</v>
      </c>
      <c r="F19" s="12">
        <v>355</v>
      </c>
      <c r="G19" s="12">
        <v>394</v>
      </c>
      <c r="H19" s="15">
        <f>AVERAGE(E19:G19)*1000/49350</f>
      </c>
      <c r="I19" s="17"/>
      <c r="J19" s="34">
        <v>400</v>
      </c>
      <c r="K19" s="35">
        <v>466811243.4325744</v>
      </c>
      <c r="L19" s="35">
        <v>707684185.6392294</v>
      </c>
      <c r="M19" s="35">
        <v>446483537.6532399</v>
      </c>
    </row>
    <row x14ac:dyDescent="0.25" r="20" customHeight="1" ht="18">
      <c r="A20" s="14">
        <v>45364.395833333336</v>
      </c>
      <c r="B20" s="12">
        <v>9203</v>
      </c>
      <c r="C20" s="12">
        <v>8426</v>
      </c>
      <c r="D20" s="12">
        <v>8118</v>
      </c>
      <c r="E20" s="12">
        <v>393</v>
      </c>
      <c r="F20" s="12">
        <v>355</v>
      </c>
      <c r="G20" s="12">
        <v>394</v>
      </c>
      <c r="H20" s="15">
        <f>AVERAGE(E20:G20)*1000/49350</f>
      </c>
      <c r="I20" s="17"/>
      <c r="J20" s="34">
        <v>400</v>
      </c>
      <c r="K20" s="35">
        <v>477234378.28371274</v>
      </c>
      <c r="L20" s="35">
        <v>436941961.4711033</v>
      </c>
      <c r="M20" s="35">
        <v>420970192.6444833</v>
      </c>
    </row>
    <row x14ac:dyDescent="0.25" r="21" customHeight="1" ht="18">
      <c r="A21" s="14">
        <v>45365.395833333336</v>
      </c>
      <c r="B21" s="12">
        <v>9334</v>
      </c>
      <c r="C21" s="12">
        <v>8449</v>
      </c>
      <c r="D21" s="12">
        <v>8122</v>
      </c>
      <c r="E21" s="12">
        <v>393</v>
      </c>
      <c r="F21" s="12">
        <v>355</v>
      </c>
      <c r="G21" s="12">
        <v>394</v>
      </c>
      <c r="H21" s="15">
        <f>AVERAGE(E21:G21)*1000/49350</f>
      </c>
      <c r="I21" s="17"/>
      <c r="J21" s="34">
        <v>400</v>
      </c>
      <c r="K21" s="35">
        <v>484027565.67425567</v>
      </c>
      <c r="L21" s="35">
        <v>438134658.4938704</v>
      </c>
      <c r="M21" s="35">
        <v>421177618.21366024</v>
      </c>
    </row>
    <row x14ac:dyDescent="0.25" r="22" customHeight="1" ht="18">
      <c r="A22" s="14">
        <v>45366.395833333336</v>
      </c>
      <c r="B22" s="12">
        <v>9701</v>
      </c>
      <c r="C22" s="12">
        <v>10339</v>
      </c>
      <c r="D22" s="12">
        <v>8820</v>
      </c>
      <c r="E22" s="12">
        <v>393</v>
      </c>
      <c r="F22" s="12">
        <v>417</v>
      </c>
      <c r="G22" s="12">
        <v>408</v>
      </c>
      <c r="H22" s="15">
        <f>AVERAGE(E22:G22)*1000/49350</f>
      </c>
      <c r="I22" s="17"/>
      <c r="J22" s="34">
        <v>400</v>
      </c>
      <c r="K22" s="35">
        <v>471669310.3448276</v>
      </c>
      <c r="L22" s="35">
        <v>502689310.3448276</v>
      </c>
      <c r="M22" s="35">
        <v>428834482.7586207</v>
      </c>
    </row>
    <row x14ac:dyDescent="0.25" r="23" customHeight="1" ht="18">
      <c r="A23" s="14">
        <v>45366.6875</v>
      </c>
      <c r="B23" s="12">
        <v>374</v>
      </c>
      <c r="C23" s="12">
        <v>277</v>
      </c>
      <c r="D23" s="12">
        <v>270</v>
      </c>
      <c r="E23" s="12">
        <v>393</v>
      </c>
      <c r="F23" s="12">
        <v>417</v>
      </c>
      <c r="G23" s="12">
        <v>408</v>
      </c>
      <c r="H23" s="15">
        <f>AVERAGE(E23:G23)*1000/49350</f>
      </c>
      <c r="I23" s="17"/>
      <c r="J23" s="34">
        <v>400</v>
      </c>
      <c r="K23" s="35">
        <v>18184137.931034483</v>
      </c>
      <c r="L23" s="35">
        <v>13467931.034482758</v>
      </c>
      <c r="M23" s="35">
        <v>13127586.206896551</v>
      </c>
    </row>
    <row x14ac:dyDescent="0.25" r="24" customHeight="1" ht="18">
      <c r="A24" s="14">
        <v>45367.395833333336</v>
      </c>
      <c r="B24" s="12">
        <v>406</v>
      </c>
      <c r="C24" s="12">
        <v>285</v>
      </c>
      <c r="D24" s="12">
        <v>207</v>
      </c>
      <c r="E24" s="12">
        <v>393</v>
      </c>
      <c r="F24" s="12">
        <v>417</v>
      </c>
      <c r="G24" s="12">
        <v>408</v>
      </c>
      <c r="H24" s="15">
        <f>AVERAGE(E24:G24)*1000/49350</f>
      </c>
      <c r="I24" s="17"/>
      <c r="J24" s="34">
        <v>400</v>
      </c>
      <c r="K24" s="35">
        <v>19740000</v>
      </c>
      <c r="L24" s="35">
        <v>13856896.551724138</v>
      </c>
      <c r="M24" s="35">
        <v>10064482.758620689</v>
      </c>
    </row>
    <row x14ac:dyDescent="0.25" r="25" customHeight="1" ht="18">
      <c r="A25" s="14">
        <v>45368.395833333336</v>
      </c>
      <c r="B25" s="12">
        <v>338</v>
      </c>
      <c r="C25" s="12">
        <v>215</v>
      </c>
      <c r="D25" s="12">
        <v>242</v>
      </c>
      <c r="E25" s="12">
        <v>393</v>
      </c>
      <c r="F25" s="12">
        <v>417</v>
      </c>
      <c r="G25" s="12">
        <v>408</v>
      </c>
      <c r="H25" s="15">
        <f>AVERAGE(E25:G25)*1000/49350</f>
      </c>
      <c r="I25" s="17"/>
      <c r="J25" s="34">
        <v>400</v>
      </c>
      <c r="K25" s="35">
        <v>16433793.103448275</v>
      </c>
      <c r="L25" s="35">
        <v>10453448.275862068</v>
      </c>
      <c r="M25" s="35">
        <v>11766206.896551725</v>
      </c>
    </row>
    <row x14ac:dyDescent="0.25" r="26" customHeight="1" ht="18">
      <c r="A26" s="14">
        <v>45369.395833333336</v>
      </c>
      <c r="B26" s="12">
        <v>360</v>
      </c>
      <c r="C26" s="12">
        <v>227</v>
      </c>
      <c r="D26" s="12">
        <v>224</v>
      </c>
      <c r="E26" s="12">
        <v>393</v>
      </c>
      <c r="F26" s="12">
        <v>417</v>
      </c>
      <c r="G26" s="12">
        <v>408</v>
      </c>
      <c r="H26" s="15">
        <f>AVERAGE(E26:G26)*1000/49350</f>
      </c>
      <c r="I26" s="17"/>
      <c r="J26" s="34">
        <v>400</v>
      </c>
      <c r="K26" s="35">
        <v>17503448.275862068</v>
      </c>
      <c r="L26" s="35">
        <v>11036896.551724138</v>
      </c>
      <c r="M26" s="35">
        <v>10891034.48275862</v>
      </c>
    </row>
    <row x14ac:dyDescent="0.25" r="27" customHeight="1" ht="18">
      <c r="A27" s="14">
        <v>45370.395833333336</v>
      </c>
      <c r="B27" s="12">
        <v>1089</v>
      </c>
      <c r="C27" s="12">
        <v>265</v>
      </c>
      <c r="D27" s="12">
        <v>217</v>
      </c>
      <c r="E27" s="12">
        <v>393</v>
      </c>
      <c r="F27" s="12">
        <v>417</v>
      </c>
      <c r="G27" s="12">
        <v>408</v>
      </c>
      <c r="H27" s="15">
        <f>AVERAGE(E27:G27)*1000/49350</f>
      </c>
      <c r="I27" s="17"/>
      <c r="J27" s="34">
        <v>400</v>
      </c>
      <c r="K27" s="35">
        <v>52947931.034482755</v>
      </c>
      <c r="L27" s="35">
        <v>12884482.758620689</v>
      </c>
      <c r="M27" s="35">
        <v>10550689.655172413</v>
      </c>
    </row>
    <row x14ac:dyDescent="0.25" r="28" customHeight="1" ht="18">
      <c r="A28" s="14">
        <v>45371.395833333336</v>
      </c>
      <c r="B28" s="12">
        <v>409</v>
      </c>
      <c r="C28" s="12">
        <v>328</v>
      </c>
      <c r="D28" s="12">
        <v>247</v>
      </c>
      <c r="E28" s="12">
        <v>393</v>
      </c>
      <c r="F28" s="12">
        <v>417</v>
      </c>
      <c r="G28" s="12">
        <v>408</v>
      </c>
      <c r="H28" s="15">
        <f>AVERAGE(E28:G28)*1000/49350</f>
      </c>
      <c r="I28" s="17"/>
      <c r="J28" s="34">
        <v>400</v>
      </c>
      <c r="K28" s="35">
        <v>19885862.068965517</v>
      </c>
      <c r="L28" s="35">
        <v>15947586.206896551</v>
      </c>
      <c r="M28" s="35">
        <v>12009310.344827585</v>
      </c>
    </row>
    <row x14ac:dyDescent="0.25" r="29" customHeight="1" ht="18">
      <c r="A29" s="14">
        <v>45372.395833333336</v>
      </c>
      <c r="B29" s="12">
        <v>688</v>
      </c>
      <c r="C29" s="12">
        <v>586</v>
      </c>
      <c r="D29" s="12">
        <v>321</v>
      </c>
      <c r="E29" s="12">
        <v>393</v>
      </c>
      <c r="F29" s="12">
        <v>417</v>
      </c>
      <c r="G29" s="12">
        <v>408</v>
      </c>
      <c r="H29" s="15">
        <f>AVERAGE(E29:G29)*1000/49350</f>
      </c>
      <c r="I29" s="17"/>
      <c r="J29" s="34">
        <v>400</v>
      </c>
      <c r="K29" s="35">
        <v>33451034.48275862</v>
      </c>
      <c r="L29" s="35">
        <v>28491724.137931034</v>
      </c>
      <c r="M29" s="35">
        <v>15607241.379310343</v>
      </c>
    </row>
    <row x14ac:dyDescent="0.25" r="30" customHeight="1" ht="18">
      <c r="A30" s="14">
        <v>45373.395833333336</v>
      </c>
      <c r="B30" s="12">
        <v>2092</v>
      </c>
      <c r="C30" s="12">
        <v>1305</v>
      </c>
      <c r="D30" s="12">
        <v>630</v>
      </c>
      <c r="E30" s="12">
        <v>362</v>
      </c>
      <c r="F30" s="12">
        <v>413</v>
      </c>
      <c r="G30" s="12">
        <v>418</v>
      </c>
      <c r="H30" s="15">
        <f>AVERAGE(E30:G30)*1000/49350</f>
      </c>
      <c r="I30" s="17"/>
      <c r="J30" s="34">
        <v>400</v>
      </c>
      <c r="K30" s="35">
        <v>103845968.14752725</v>
      </c>
      <c r="L30" s="35">
        <v>64779631.181894384</v>
      </c>
      <c r="M30" s="35">
        <v>31272925.39815591</v>
      </c>
    </row>
    <row x14ac:dyDescent="0.25" r="31" customHeight="1" ht="18">
      <c r="A31" s="14">
        <v>45375.395833333336</v>
      </c>
      <c r="B31" s="12">
        <v>3033</v>
      </c>
      <c r="C31" s="12">
        <v>3371</v>
      </c>
      <c r="D31" s="12">
        <v>1214</v>
      </c>
      <c r="E31" s="12">
        <v>362</v>
      </c>
      <c r="F31" s="12">
        <v>413</v>
      </c>
      <c r="G31" s="12">
        <v>418</v>
      </c>
      <c r="H31" s="15">
        <f>AVERAGE(E31:G31)*1000/49350</f>
      </c>
      <c r="I31" s="17"/>
      <c r="J31" s="34">
        <v>400</v>
      </c>
      <c r="K31" s="35">
        <v>150556797.9882649</v>
      </c>
      <c r="L31" s="35">
        <v>167334970.66219613</v>
      </c>
      <c r="M31" s="35">
        <v>60262430.8466052</v>
      </c>
    </row>
    <row x14ac:dyDescent="0.25" r="32" customHeight="1" ht="18">
      <c r="A32" s="14">
        <v>45376.395833333336</v>
      </c>
      <c r="B32" s="12">
        <v>3911</v>
      </c>
      <c r="C32" s="12">
        <v>3856</v>
      </c>
      <c r="D32" s="12">
        <v>1796</v>
      </c>
      <c r="E32" s="12">
        <v>362</v>
      </c>
      <c r="F32" s="12">
        <v>413</v>
      </c>
      <c r="G32" s="12">
        <v>418</v>
      </c>
      <c r="H32" s="15">
        <f>AVERAGE(E32:G32)*1000/49350</f>
      </c>
      <c r="I32" s="17"/>
      <c r="J32" s="34">
        <v>400</v>
      </c>
      <c r="K32" s="35">
        <v>194140335.28918692</v>
      </c>
      <c r="L32" s="35">
        <v>191410159.2623638</v>
      </c>
      <c r="M32" s="35">
        <v>89152657.16680637</v>
      </c>
    </row>
    <row x14ac:dyDescent="0.25" r="33" customHeight="1" ht="18">
      <c r="A33" s="14">
        <v>45376.729166666664</v>
      </c>
      <c r="B33" s="12">
        <v>60</v>
      </c>
      <c r="C33" s="12">
        <v>55</v>
      </c>
      <c r="D33" s="12">
        <v>50</v>
      </c>
      <c r="E33" s="12">
        <v>362</v>
      </c>
      <c r="F33" s="12">
        <v>413</v>
      </c>
      <c r="G33" s="12">
        <v>418</v>
      </c>
      <c r="H33" s="15">
        <f>AVERAGE(E33:G33)*1000/49350</f>
      </c>
      <c r="I33" s="17"/>
      <c r="J33" s="34">
        <v>400</v>
      </c>
      <c r="K33" s="35">
        <v>2978373.84744342</v>
      </c>
      <c r="L33" s="35">
        <v>2730176.026823135</v>
      </c>
      <c r="M33" s="35">
        <v>2481978.2062028497</v>
      </c>
    </row>
    <row x14ac:dyDescent="0.25" r="34" customHeight="1" ht="18">
      <c r="A34" s="14">
        <v>45377.395833333336</v>
      </c>
      <c r="B34" s="12">
        <v>84</v>
      </c>
      <c r="C34" s="12">
        <v>74</v>
      </c>
      <c r="D34" s="12">
        <v>56</v>
      </c>
      <c r="E34" s="12">
        <v>362</v>
      </c>
      <c r="F34" s="12">
        <v>413</v>
      </c>
      <c r="G34" s="12">
        <v>418</v>
      </c>
      <c r="H34" s="15">
        <f>AVERAGE(E34:G34)*1000/49350</f>
      </c>
      <c r="I34" s="17"/>
      <c r="J34" s="34">
        <v>400</v>
      </c>
      <c r="K34" s="35">
        <v>4169723.386420788</v>
      </c>
      <c r="L34" s="35">
        <v>3673327.745180218</v>
      </c>
      <c r="M34" s="35">
        <v>2779815.590947192</v>
      </c>
    </row>
    <row x14ac:dyDescent="0.25" r="35" customHeight="1" ht="18">
      <c r="A35" s="14">
        <v>45378.395833333336</v>
      </c>
      <c r="B35" s="12">
        <v>81</v>
      </c>
      <c r="C35" s="12">
        <v>78</v>
      </c>
      <c r="D35" s="12">
        <v>67</v>
      </c>
      <c r="E35" s="12">
        <v>460</v>
      </c>
      <c r="F35" s="12">
        <v>426</v>
      </c>
      <c r="G35" s="12">
        <v>417</v>
      </c>
      <c r="H35" s="15">
        <f>AVERAGE(E35:G35)*1000/49350</f>
      </c>
      <c r="I35" s="17"/>
      <c r="J35" s="34">
        <v>400</v>
      </c>
      <c r="K35" s="35">
        <v>3681366.0782808904</v>
      </c>
      <c r="L35" s="35">
        <v>3545019.186492709</v>
      </c>
      <c r="M35" s="35">
        <v>3045080.583269378</v>
      </c>
    </row>
    <row x14ac:dyDescent="0.25" r="36" customHeight="1" ht="18">
      <c r="A36" s="14">
        <v>45379.395833333336</v>
      </c>
      <c r="B36" s="12">
        <v>82</v>
      </c>
      <c r="C36" s="12">
        <v>60</v>
      </c>
      <c r="D36" s="12">
        <v>76</v>
      </c>
      <c r="E36" s="12">
        <v>460</v>
      </c>
      <c r="F36" s="12">
        <v>426</v>
      </c>
      <c r="G36" s="12">
        <v>417</v>
      </c>
      <c r="H36" s="15">
        <f>AVERAGE(E36:G36)*1000/49350</f>
      </c>
      <c r="I36" s="17"/>
      <c r="J36" s="34">
        <v>400</v>
      </c>
      <c r="K36" s="35">
        <v>3726815.042210284</v>
      </c>
      <c r="L36" s="35">
        <v>2726937.8357636225</v>
      </c>
      <c r="M36" s="35">
        <v>3454121.258633922</v>
      </c>
    </row>
    <row x14ac:dyDescent="0.25" r="37" customHeight="1" ht="18">
      <c r="A37" s="14">
        <v>45380.395833333336</v>
      </c>
      <c r="B37" s="12">
        <v>143</v>
      </c>
      <c r="C37" s="12">
        <v>94</v>
      </c>
      <c r="D37" s="12">
        <v>120</v>
      </c>
      <c r="E37" s="12">
        <v>362</v>
      </c>
      <c r="F37" s="12">
        <v>413</v>
      </c>
      <c r="G37" s="12">
        <v>418</v>
      </c>
      <c r="H37" s="15">
        <f>AVERAGE(E37:G37)*1000/49350</f>
      </c>
      <c r="I37" s="17"/>
      <c r="J37" s="34">
        <v>400</v>
      </c>
      <c r="K37" s="35">
        <v>7098457.669740151</v>
      </c>
      <c r="L37" s="35">
        <v>4666119.027661358</v>
      </c>
      <c r="M37" s="35">
        <v>5956747.69488684</v>
      </c>
    </row>
    <row x14ac:dyDescent="0.25" r="38" customHeight="1" ht="18">
      <c r="A38" s="14">
        <v>45384.395833333336</v>
      </c>
      <c r="B38" s="12">
        <v>6955</v>
      </c>
      <c r="C38" s="12">
        <v>5406</v>
      </c>
      <c r="D38" s="12">
        <v>4140</v>
      </c>
      <c r="E38" s="12">
        <v>460</v>
      </c>
      <c r="F38" s="12">
        <v>426</v>
      </c>
      <c r="G38" s="12">
        <v>417</v>
      </c>
      <c r="H38" s="15">
        <f>AVERAGE(E38:G38)*1000/49350</f>
      </c>
      <c r="I38" s="17"/>
      <c r="J38" s="34">
        <v>200</v>
      </c>
      <c r="K38" s="35">
        <v>172621584.24140823</v>
      </c>
      <c r="L38" s="35">
        <v>134175741.82732607</v>
      </c>
      <c r="M38" s="35">
        <v>102753897.73679799</v>
      </c>
    </row>
    <row x14ac:dyDescent="0.25" r="39" customHeight="1" ht="18">
      <c r="A39" s="14">
        <v>45385.395833333336</v>
      </c>
      <c r="B39" s="12">
        <v>21986</v>
      </c>
      <c r="C39" s="12">
        <v>14827</v>
      </c>
      <c r="D39" s="12">
        <v>14210</v>
      </c>
      <c r="E39" s="12">
        <v>460</v>
      </c>
      <c r="F39" s="12">
        <v>426</v>
      </c>
      <c r="G39" s="12">
        <v>417</v>
      </c>
      <c r="H39" s="15">
        <f>AVERAGE(E39:G39)*1000/49350</f>
      </c>
      <c r="I39" s="17"/>
      <c r="J39" s="34">
        <v>100</v>
      </c>
      <c r="K39" s="35">
        <v>272843864.2078793</v>
      </c>
      <c r="L39" s="35">
        <v>184001454.31684828</v>
      </c>
      <c r="M39" s="35">
        <v>176344551.5507125</v>
      </c>
    </row>
    <row x14ac:dyDescent="0.25" r="40" customHeight="1" ht="18">
      <c r="A40" s="14">
        <v>45385.729166666664</v>
      </c>
      <c r="B40" s="12">
        <v>689</v>
      </c>
      <c r="C40" s="12">
        <v>776</v>
      </c>
      <c r="D40" s="12">
        <v>360</v>
      </c>
      <c r="E40" s="12">
        <v>460</v>
      </c>
      <c r="F40" s="12">
        <v>426</v>
      </c>
      <c r="G40" s="12">
        <v>417</v>
      </c>
      <c r="H40" s="15">
        <f>AVERAGE(E40:G40)*1000/49350</f>
      </c>
      <c r="I40" s="17"/>
      <c r="J40" s="34">
        <v>100</v>
      </c>
      <c r="K40" s="35">
        <v>7828584.036838066</v>
      </c>
      <c r="L40" s="35">
        <v>8817099.002302378</v>
      </c>
      <c r="M40" s="35">
        <v>4090406.7536454336</v>
      </c>
    </row>
    <row x14ac:dyDescent="0.25" r="41" customHeight="1" ht="18">
      <c r="A41" s="14">
        <v>45386.395833333336</v>
      </c>
      <c r="B41" s="12">
        <v>679</v>
      </c>
      <c r="C41" s="12">
        <v>848</v>
      </c>
      <c r="D41" s="12">
        <v>397</v>
      </c>
      <c r="E41" s="12">
        <v>421</v>
      </c>
      <c r="F41" s="12">
        <v>463</v>
      </c>
      <c r="G41" s="12">
        <v>393</v>
      </c>
      <c r="H41" s="15">
        <f>AVERAGE(E41:G41)*1000/49350</f>
      </c>
      <c r="I41" s="17"/>
      <c r="J41" s="34">
        <v>100</v>
      </c>
      <c r="K41" s="35">
        <v>7714961.627014582</v>
      </c>
      <c r="L41" s="35">
        <v>9635180.353031466</v>
      </c>
      <c r="M41" s="35">
        <v>4510809.669992326</v>
      </c>
    </row>
    <row x14ac:dyDescent="0.25" r="42" customHeight="1" ht="18">
      <c r="A42" s="14">
        <v>45387.395833333336</v>
      </c>
      <c r="B42" s="12">
        <v>650</v>
      </c>
      <c r="C42" s="12">
        <v>895</v>
      </c>
      <c r="D42" s="12">
        <v>513</v>
      </c>
      <c r="E42" s="12">
        <v>421</v>
      </c>
      <c r="F42" s="12">
        <v>463</v>
      </c>
      <c r="G42" s="12">
        <v>393</v>
      </c>
      <c r="H42" s="15">
        <f>AVERAGE(E42:G42)*1000/49350</f>
      </c>
      <c r="I42" s="17"/>
      <c r="J42" s="34">
        <v>100</v>
      </c>
      <c r="K42" s="35">
        <v>7535826.1550509</v>
      </c>
      <c r="L42" s="35">
        <v>10169205.679201841</v>
      </c>
      <c r="M42" s="35">
        <v>5828829.623944743</v>
      </c>
    </row>
    <row x14ac:dyDescent="0.25" r="43" customHeight="1" ht="18">
      <c r="A43" s="14">
        <v>45390.395833333336</v>
      </c>
      <c r="B43" s="12">
        <v>2239</v>
      </c>
      <c r="C43" s="12">
        <v>3395</v>
      </c>
      <c r="D43" s="12">
        <v>1248</v>
      </c>
      <c r="E43" s="12">
        <v>421</v>
      </c>
      <c r="F43" s="12">
        <v>463</v>
      </c>
      <c r="G43" s="12">
        <v>393</v>
      </c>
      <c r="H43" s="15">
        <f>AVERAGE(E43:G43)*1000/49350</f>
      </c>
      <c r="I43" s="17"/>
      <c r="J43" s="34">
        <v>100</v>
      </c>
      <c r="K43" s="35">
        <v>25958022.70947533</v>
      </c>
      <c r="L43" s="35">
        <v>38574808.13507291</v>
      </c>
      <c r="M43" s="35">
        <v>14180076.745970836</v>
      </c>
    </row>
    <row x14ac:dyDescent="0.25" r="44" customHeight="1" ht="18">
      <c r="A44" s="14">
        <v>45391.395833333336</v>
      </c>
      <c r="B44" s="12">
        <v>4559</v>
      </c>
      <c r="C44" s="12">
        <v>9642</v>
      </c>
      <c r="D44" s="12">
        <v>3336</v>
      </c>
      <c r="E44" s="12">
        <v>421</v>
      </c>
      <c r="F44" s="12">
        <v>463</v>
      </c>
      <c r="G44" s="12">
        <v>393</v>
      </c>
      <c r="H44" s="15">
        <f>AVERAGE(E44:G44)*1000/49350</f>
      </c>
      <c r="I44" s="17"/>
      <c r="J44" s="34">
        <v>100</v>
      </c>
      <c r="K44" s="35">
        <v>52855125.293657005</v>
      </c>
      <c r="L44" s="35">
        <v>109554727.55180353</v>
      </c>
      <c r="M44" s="35">
        <v>37904435.917114355</v>
      </c>
    </row>
    <row x14ac:dyDescent="0.25" r="45" customHeight="1" ht="18">
      <c r="A45" s="14">
        <v>45393.395833333336</v>
      </c>
      <c r="B45" s="12">
        <v>15246</v>
      </c>
      <c r="C45" s="12">
        <v>22200</v>
      </c>
      <c r="D45" s="12">
        <v>8772</v>
      </c>
      <c r="E45" s="12">
        <v>421</v>
      </c>
      <c r="F45" s="12">
        <v>463</v>
      </c>
      <c r="G45" s="12">
        <v>393</v>
      </c>
      <c r="H45" s="15">
        <f>AVERAGE(E45:G45)*1000/49350</f>
      </c>
      <c r="I45" s="17"/>
      <c r="J45" s="34">
        <v>100</v>
      </c>
      <c r="K45" s="35">
        <v>176755700.86139387</v>
      </c>
      <c r="L45" s="35">
        <v>252241749.80813506</v>
      </c>
      <c r="M45" s="35">
        <v>99669577.8971604</v>
      </c>
    </row>
    <row x14ac:dyDescent="0.25" r="46" customHeight="1" ht="18">
      <c r="A46" s="14">
        <v>45394.395833333336</v>
      </c>
      <c r="B46" s="12">
        <v>16098</v>
      </c>
      <c r="C46" s="12">
        <v>24065</v>
      </c>
      <c r="D46" s="12">
        <v>12276</v>
      </c>
      <c r="E46" s="12">
        <v>421</v>
      </c>
      <c r="F46" s="12">
        <v>463</v>
      </c>
      <c r="G46" s="12">
        <v>393</v>
      </c>
      <c r="H46" s="15">
        <f>AVERAGE(E46:G46)*1000/49350</f>
      </c>
      <c r="I46" s="17"/>
      <c r="J46" s="34">
        <v>100</v>
      </c>
      <c r="K46" s="35">
        <v>186633429.9138606</v>
      </c>
      <c r="L46" s="35">
        <v>273432329.2402149</v>
      </c>
      <c r="M46" s="35">
        <v>139482870.29930928</v>
      </c>
    </row>
    <row x14ac:dyDescent="0.25" r="47" customHeight="1" ht="18">
      <c r="A47" s="14">
        <v>45397.604166666664</v>
      </c>
      <c r="B47" s="12">
        <v>23859</v>
      </c>
      <c r="C47" s="12">
        <v>25039</v>
      </c>
      <c r="D47" s="12">
        <v>17396</v>
      </c>
      <c r="E47" s="12">
        <v>421</v>
      </c>
      <c r="F47" s="12">
        <v>463</v>
      </c>
      <c r="G47" s="12">
        <v>393</v>
      </c>
      <c r="H47" s="15">
        <f>AVERAGE(E47:G47)*1000/49350</f>
      </c>
      <c r="I47" s="17"/>
      <c r="J47" s="34">
        <v>99.99999999999999</v>
      </c>
      <c r="K47" s="35">
        <v>276611194.2051683</v>
      </c>
      <c r="L47" s="35">
        <v>284499151.95702225</v>
      </c>
      <c r="M47" s="35">
        <v>197657544.12893322</v>
      </c>
    </row>
    <row x14ac:dyDescent="0.25" r="48" customHeight="1" ht="18">
      <c r="A48" s="14">
        <v>45398.4375</v>
      </c>
      <c r="B48" s="12">
        <v>29092</v>
      </c>
      <c r="C48" s="12">
        <v>29409</v>
      </c>
      <c r="D48" s="12">
        <v>19274</v>
      </c>
      <c r="E48" s="12">
        <v>421</v>
      </c>
      <c r="F48" s="12">
        <v>463</v>
      </c>
      <c r="G48" s="12">
        <v>393</v>
      </c>
      <c r="H48" s="15">
        <f>AVERAGE(E48:G48)*1000/49350</f>
      </c>
      <c r="I48" s="17"/>
      <c r="J48" s="34">
        <v>100</v>
      </c>
      <c r="K48" s="35">
        <v>337280391.5426781</v>
      </c>
      <c r="L48" s="35">
        <v>340955555.99060297</v>
      </c>
      <c r="M48" s="35">
        <v>223454635.8653093</v>
      </c>
    </row>
    <row x14ac:dyDescent="0.25" r="49" customHeight="1" ht="18">
      <c r="A49" s="14">
        <v>45398.729166666664</v>
      </c>
      <c r="B49" s="12">
        <v>634</v>
      </c>
      <c r="C49" s="12">
        <v>482</v>
      </c>
      <c r="D49" s="12">
        <v>338</v>
      </c>
      <c r="E49" s="12">
        <v>421</v>
      </c>
      <c r="F49" s="12">
        <v>463</v>
      </c>
      <c r="G49" s="12">
        <v>393</v>
      </c>
      <c r="H49" s="15">
        <f>AVERAGE(E49:G49)*1000/49350</f>
      </c>
      <c r="I49" s="17"/>
      <c r="J49" s="34">
        <v>200</v>
      </c>
      <c r="K49" s="35">
        <v>14700657.791699294</v>
      </c>
      <c r="L49" s="35">
        <v>10953200.306983883</v>
      </c>
      <c r="M49" s="35">
        <v>7680874.904067537</v>
      </c>
    </row>
    <row x14ac:dyDescent="0.25" r="50" customHeight="1" ht="18">
      <c r="A50" s="14">
        <v>45399.4375</v>
      </c>
      <c r="B50" s="12">
        <v>284</v>
      </c>
      <c r="C50" s="12">
        <v>238</v>
      </c>
      <c r="D50" s="12">
        <v>215</v>
      </c>
      <c r="E50" s="12">
        <v>421</v>
      </c>
      <c r="F50" s="12">
        <v>463</v>
      </c>
      <c r="G50" s="12">
        <v>393</v>
      </c>
      <c r="H50" s="15">
        <f>AVERAGE(E50:G50)*1000/49350</f>
      </c>
      <c r="I50" s="17"/>
      <c r="J50" s="34">
        <v>200</v>
      </c>
      <c r="K50" s="35">
        <v>6585152.701644478</v>
      </c>
      <c r="L50" s="35">
        <v>5408426.707597851</v>
      </c>
      <c r="M50" s="35">
        <v>4885763.622409823</v>
      </c>
    </row>
    <row x14ac:dyDescent="0.25" r="51" customHeight="1" ht="18">
      <c r="A51" s="14">
        <v>45400.4375</v>
      </c>
      <c r="B51" s="12">
        <v>267</v>
      </c>
      <c r="C51" s="12">
        <v>301</v>
      </c>
      <c r="D51" s="12">
        <v>191</v>
      </c>
      <c r="E51" s="12">
        <v>421</v>
      </c>
      <c r="F51" s="12">
        <v>463</v>
      </c>
      <c r="G51" s="12">
        <v>393</v>
      </c>
      <c r="H51" s="15">
        <f>AVERAGE(E51:G51)*1000/49350</f>
      </c>
      <c r="I51" s="17"/>
      <c r="J51" s="34">
        <v>200</v>
      </c>
      <c r="K51" s="35">
        <v>6190971.025841816</v>
      </c>
      <c r="L51" s="35">
        <v>6979334.377447141</v>
      </c>
      <c r="M51" s="35">
        <v>4428747.0634299135</v>
      </c>
    </row>
    <row x14ac:dyDescent="0.25" r="52" customHeight="1" ht="18">
      <c r="A52" s="14">
        <v>45401.4375</v>
      </c>
      <c r="B52" s="12">
        <v>294</v>
      </c>
      <c r="C52" s="12">
        <v>163</v>
      </c>
      <c r="D52" s="12">
        <v>170</v>
      </c>
      <c r="E52" s="12">
        <v>430</v>
      </c>
      <c r="F52" s="12">
        <v>388</v>
      </c>
      <c r="G52" s="12">
        <v>428</v>
      </c>
      <c r="H52" s="15">
        <f>AVERAGE(E52:G52)*1000/49350</f>
      </c>
      <c r="I52" s="17"/>
      <c r="J52" s="34">
        <v>200</v>
      </c>
      <c r="K52" s="35">
        <v>6986629.213483147</v>
      </c>
      <c r="L52" s="35">
        <v>3873539.325842697</v>
      </c>
      <c r="M52" s="35">
        <v>4039887.6404494387</v>
      </c>
    </row>
    <row x14ac:dyDescent="0.25" r="53" customHeight="1" ht="18">
      <c r="A53" s="14">
        <v>45404.4375</v>
      </c>
      <c r="B53" s="12">
        <v>7069</v>
      </c>
      <c r="C53" s="12">
        <v>819</v>
      </c>
      <c r="D53" s="12">
        <v>2262</v>
      </c>
      <c r="E53" s="12">
        <v>430</v>
      </c>
      <c r="F53" s="12">
        <v>388</v>
      </c>
      <c r="G53" s="12">
        <v>428</v>
      </c>
      <c r="H53" s="15">
        <f>AVERAGE(E53:G53)*1000/49350</f>
      </c>
      <c r="I53" s="17"/>
      <c r="J53" s="34">
        <v>200</v>
      </c>
      <c r="K53" s="35">
        <v>167988033.70786518</v>
      </c>
      <c r="L53" s="35">
        <v>19462752.80898877</v>
      </c>
      <c r="M53" s="35">
        <v>53754269.662921354</v>
      </c>
    </row>
    <row x14ac:dyDescent="0.25" r="54" customHeight="1" ht="18">
      <c r="A54" s="14">
        <v>45405.4375</v>
      </c>
      <c r="B54" s="12">
        <v>14760</v>
      </c>
      <c r="C54" s="12">
        <v>2749</v>
      </c>
      <c r="D54" s="12">
        <v>8456</v>
      </c>
      <c r="E54" s="12">
        <v>430</v>
      </c>
      <c r="F54" s="12">
        <v>388</v>
      </c>
      <c r="G54" s="12">
        <v>428</v>
      </c>
      <c r="H54" s="15">
        <f>AVERAGE(E54:G54)*1000/49350</f>
      </c>
      <c r="I54" s="17"/>
      <c r="J54" s="34">
        <v>200</v>
      </c>
      <c r="K54" s="35">
        <v>350757303.37078655</v>
      </c>
      <c r="L54" s="35">
        <v>65327359.55056181</v>
      </c>
      <c r="M54" s="35">
        <v>200948764.04494384</v>
      </c>
    </row>
    <row x14ac:dyDescent="0.25" r="55" customHeight="1" ht="18">
      <c r="A55" s="14">
        <v>45406.4375</v>
      </c>
      <c r="B55" s="12">
        <v>59770</v>
      </c>
      <c r="C55" s="12">
        <v>20353</v>
      </c>
      <c r="D55" s="12">
        <v>36020</v>
      </c>
      <c r="E55" s="12">
        <v>466</v>
      </c>
      <c r="F55" s="12">
        <v>484</v>
      </c>
      <c r="G55" s="12">
        <v>417</v>
      </c>
      <c r="H55" s="15">
        <f>AVERAGE(E55:G55)*1000/49350</f>
      </c>
      <c r="I55" s="17"/>
      <c r="J55" s="34">
        <v>100</v>
      </c>
      <c r="K55" s="35">
        <v>647326152.1580102</v>
      </c>
      <c r="L55" s="35">
        <v>220428796.6349671</v>
      </c>
      <c r="M55" s="35">
        <v>390106876.37161666</v>
      </c>
    </row>
    <row x14ac:dyDescent="0.25" r="56" customHeight="1" ht="18">
      <c r="A56" s="14">
        <v>45407.4375</v>
      </c>
      <c r="B56" s="12">
        <v>48237</v>
      </c>
      <c r="C56" s="12">
        <v>21465</v>
      </c>
      <c r="D56" s="12">
        <v>37033</v>
      </c>
      <c r="E56" s="12">
        <v>466</v>
      </c>
      <c r="F56" s="12">
        <v>484</v>
      </c>
      <c r="G56" s="12">
        <v>417</v>
      </c>
      <c r="H56" s="15">
        <f>AVERAGE(E56:G56)*1000/49350</f>
      </c>
      <c r="I56" s="17"/>
      <c r="J56" s="34">
        <v>200</v>
      </c>
      <c r="K56" s="35">
        <v>1044840943.6722751</v>
      </c>
      <c r="L56" s="35">
        <v>464944147.76883686</v>
      </c>
      <c r="M56" s="35">
        <v>802155910.7534748</v>
      </c>
    </row>
    <row x14ac:dyDescent="0.25" r="57" customHeight="1" ht="18">
      <c r="A57" s="14">
        <v>45408.4375</v>
      </c>
      <c r="B57" s="12">
        <v>58428</v>
      </c>
      <c r="C57" s="12">
        <v>36920</v>
      </c>
      <c r="D57" s="12">
        <v>48744</v>
      </c>
      <c r="E57" s="12">
        <v>466</v>
      </c>
      <c r="F57" s="12">
        <v>484</v>
      </c>
      <c r="G57" s="12">
        <v>417</v>
      </c>
      <c r="H57" s="15">
        <f>AVERAGE(E57:G57)*1000/49350</f>
      </c>
      <c r="I57" s="17"/>
      <c r="J57" s="34">
        <v>200</v>
      </c>
      <c r="K57" s="35">
        <v>1265583818.580834</v>
      </c>
      <c r="L57" s="35">
        <v>799708266.276518</v>
      </c>
      <c r="M57" s="35">
        <v>1055822852.962692</v>
      </c>
    </row>
  </sheetData>
  <mergeCells count="4">
    <mergeCell ref="A1:M1"/>
    <mergeCell ref="B2:D2"/>
    <mergeCell ref="E2:H2"/>
    <mergeCell ref="I4:I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7"/>
  <sheetViews>
    <sheetView workbookViewId="0"/>
  </sheetViews>
  <sheetFormatPr defaultRowHeight="15" x14ac:dyDescent="0.25"/>
  <cols>
    <col min="1" max="1" style="20" width="17.576428571428572" customWidth="1" bestFit="1"/>
    <col min="2" max="2" style="21" width="13.005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3" width="13.005" customWidth="1" bestFit="1"/>
    <col min="9" max="9" style="24" width="13.005" customWidth="1" bestFit="1"/>
    <col min="10" max="10" style="36" width="13.005" customWidth="1" bestFit="1"/>
    <col min="11" max="11" style="37" width="13.005" customWidth="1" bestFit="1"/>
    <col min="12" max="12" style="37" width="13.005" customWidth="1" bestFit="1"/>
    <col min="13" max="13" style="37" width="13.005" customWidth="1" bestFit="1"/>
  </cols>
  <sheetData>
    <row x14ac:dyDescent="0.25" r="1" customHeight="1" ht="18">
      <c r="A1" s="2" t="s">
        <v>0</v>
      </c>
      <c r="B1" s="1"/>
      <c r="C1" s="1"/>
      <c r="D1" s="1"/>
      <c r="E1" s="1"/>
      <c r="F1" s="1"/>
      <c r="G1" s="1"/>
      <c r="H1" s="3"/>
      <c r="I1" s="4"/>
      <c r="J1" s="2"/>
      <c r="K1" s="45"/>
      <c r="L1" s="45"/>
      <c r="M1" s="45"/>
    </row>
    <row x14ac:dyDescent="0.25" r="2" customHeight="1" ht="18">
      <c r="A2" s="6" t="s">
        <v>2</v>
      </c>
      <c r="B2" s="7" t="s">
        <v>3</v>
      </c>
      <c r="C2" s="7"/>
      <c r="D2" s="7"/>
      <c r="E2" s="7" t="s">
        <v>4</v>
      </c>
      <c r="F2" s="7"/>
      <c r="G2" s="7"/>
      <c r="H2" s="8"/>
      <c r="I2" s="9" t="s">
        <v>5</v>
      </c>
      <c r="J2" s="32" t="s">
        <v>6</v>
      </c>
      <c r="K2" s="33" t="s">
        <v>7</v>
      </c>
      <c r="L2" s="33"/>
      <c r="M2" s="33"/>
    </row>
    <row x14ac:dyDescent="0.25" r="3" customHeight="1" ht="18">
      <c r="A3" s="6"/>
      <c r="B3" s="10" t="s">
        <v>8</v>
      </c>
      <c r="C3" s="10" t="s">
        <v>9</v>
      </c>
      <c r="D3" s="10" t="s">
        <v>10</v>
      </c>
      <c r="E3" s="12">
        <v>1</v>
      </c>
      <c r="F3" s="12">
        <v>2</v>
      </c>
      <c r="G3" s="12">
        <v>3</v>
      </c>
      <c r="H3" s="11" t="s">
        <v>11</v>
      </c>
      <c r="I3" s="9"/>
      <c r="J3" s="32"/>
      <c r="K3" s="33" t="s">
        <v>8</v>
      </c>
      <c r="L3" s="33" t="s">
        <v>9</v>
      </c>
      <c r="M3" s="33" t="s">
        <v>10</v>
      </c>
    </row>
    <row x14ac:dyDescent="0.25" r="4" customHeight="1" ht="18">
      <c r="A4" s="14">
        <v>45341.625</v>
      </c>
      <c r="B4" s="12">
        <v>906</v>
      </c>
      <c r="C4" s="12">
        <v>474</v>
      </c>
      <c r="D4" s="12">
        <v>850</v>
      </c>
      <c r="E4" s="12">
        <v>389</v>
      </c>
      <c r="F4" s="12">
        <v>382</v>
      </c>
      <c r="G4" s="12">
        <v>358</v>
      </c>
      <c r="H4" s="15">
        <f>AVERAGE(E4:G4)*1000/47400</f>
      </c>
      <c r="I4" s="16" t="s">
        <v>12</v>
      </c>
      <c r="J4" s="34">
        <v>40</v>
      </c>
      <c r="K4" s="35">
        <v>4564506.643046944</v>
      </c>
      <c r="L4" s="35">
        <v>2388053.144375554</v>
      </c>
      <c r="M4" s="35">
        <v>4282373.78210806</v>
      </c>
    </row>
    <row x14ac:dyDescent="0.25" r="5" customHeight="1" ht="18">
      <c r="A5" s="14">
        <v>45342.395833333336</v>
      </c>
      <c r="B5" s="12">
        <v>1041</v>
      </c>
      <c r="C5" s="12">
        <v>990</v>
      </c>
      <c r="D5" s="12">
        <v>953</v>
      </c>
      <c r="E5" s="12">
        <v>389</v>
      </c>
      <c r="F5" s="12">
        <v>382</v>
      </c>
      <c r="G5" s="12">
        <v>358</v>
      </c>
      <c r="H5" s="15">
        <f>AVERAGE(E5:G5)*1000/47400</f>
      </c>
      <c r="I5" s="17"/>
      <c r="J5" s="34">
        <v>40</v>
      </c>
      <c r="K5" s="35">
        <v>5244648.361381754</v>
      </c>
      <c r="L5" s="35">
        <v>4987705.93445527</v>
      </c>
      <c r="M5" s="35">
        <v>4801296.722763508</v>
      </c>
    </row>
    <row x14ac:dyDescent="0.25" r="6" customHeight="1" ht="18">
      <c r="A6" s="14">
        <v>45343.395833333336</v>
      </c>
      <c r="B6" s="12">
        <v>203</v>
      </c>
      <c r="C6" s="12">
        <v>145</v>
      </c>
      <c r="D6" s="12">
        <v>133</v>
      </c>
      <c r="E6" s="12">
        <v>358</v>
      </c>
      <c r="F6" s="12">
        <v>377</v>
      </c>
      <c r="G6" s="12">
        <v>401</v>
      </c>
      <c r="H6" s="15">
        <f>AVERAGE(E6:G6)*1000/47400</f>
      </c>
      <c r="I6" s="17"/>
      <c r="J6" s="34">
        <v>400</v>
      </c>
      <c r="K6" s="35">
        <v>10164295.774647886</v>
      </c>
      <c r="L6" s="35">
        <v>7260211.2676056335</v>
      </c>
      <c r="M6" s="35">
        <v>6659366.197183099</v>
      </c>
    </row>
    <row x14ac:dyDescent="0.25" r="7" customHeight="1" ht="18">
      <c r="A7" s="14">
        <v>45344.395833333336</v>
      </c>
      <c r="B7" s="12">
        <v>157</v>
      </c>
      <c r="C7" s="12">
        <v>149</v>
      </c>
      <c r="D7" s="12">
        <v>145</v>
      </c>
      <c r="E7" s="12">
        <v>358</v>
      </c>
      <c r="F7" s="12">
        <v>377</v>
      </c>
      <c r="G7" s="12">
        <v>401</v>
      </c>
      <c r="H7" s="15">
        <f>AVERAGE(E7:G7)*1000/47400</f>
      </c>
      <c r="I7" s="17"/>
      <c r="J7" s="34">
        <v>400</v>
      </c>
      <c r="K7" s="35">
        <v>7861056.338028168</v>
      </c>
      <c r="L7" s="35">
        <v>7460492.957746479</v>
      </c>
      <c r="M7" s="35">
        <v>7260211.2676056335</v>
      </c>
    </row>
    <row x14ac:dyDescent="0.25" r="8" customHeight="1" ht="18">
      <c r="A8" s="14">
        <v>45345.395833333336</v>
      </c>
      <c r="B8" s="12">
        <v>165</v>
      </c>
      <c r="C8" s="12">
        <v>192</v>
      </c>
      <c r="D8" s="12">
        <v>203</v>
      </c>
      <c r="E8" s="12">
        <v>358</v>
      </c>
      <c r="F8" s="12">
        <v>377</v>
      </c>
      <c r="G8" s="12">
        <v>401</v>
      </c>
      <c r="H8" s="15">
        <f>AVERAGE(E8:G8)*1000/47400</f>
      </c>
      <c r="I8" s="17"/>
      <c r="J8" s="34">
        <v>400</v>
      </c>
      <c r="K8" s="35">
        <v>8261619.718309859</v>
      </c>
      <c r="L8" s="35">
        <v>9613521.126760563</v>
      </c>
      <c r="M8" s="35">
        <v>10164295.774647886</v>
      </c>
    </row>
    <row x14ac:dyDescent="0.25" r="9" customHeight="1" ht="18">
      <c r="A9" s="14">
        <v>45348.395833333336</v>
      </c>
      <c r="B9" s="12">
        <v>1340</v>
      </c>
      <c r="C9" s="12">
        <v>878</v>
      </c>
      <c r="D9" s="12">
        <v>965</v>
      </c>
      <c r="E9" s="12">
        <v>348</v>
      </c>
      <c r="F9" s="12">
        <v>314</v>
      </c>
      <c r="G9" s="12">
        <v>357</v>
      </c>
      <c r="H9" s="15">
        <f>AVERAGE(E9:G9)*1000/49350</f>
      </c>
      <c r="I9" s="17"/>
      <c r="J9" s="34">
        <v>40</v>
      </c>
      <c r="K9" s="35">
        <v>7787517.173699705</v>
      </c>
      <c r="L9" s="35">
        <v>5102567.222767419</v>
      </c>
      <c r="M9" s="35">
        <v>5608174.6810598625</v>
      </c>
    </row>
    <row x14ac:dyDescent="0.25" r="10" customHeight="1" ht="18">
      <c r="A10" s="14">
        <v>45349.395833333336</v>
      </c>
      <c r="B10" s="12">
        <v>903</v>
      </c>
      <c r="C10" s="12">
        <v>829</v>
      </c>
      <c r="D10" s="12">
        <v>759</v>
      </c>
      <c r="E10" s="12">
        <v>348</v>
      </c>
      <c r="F10" s="12">
        <v>314</v>
      </c>
      <c r="G10" s="12">
        <v>357</v>
      </c>
      <c r="H10" s="15">
        <f>AVERAGE(E10:G10)*1000/49350</f>
      </c>
      <c r="I10" s="17"/>
      <c r="J10" s="34">
        <v>40</v>
      </c>
      <c r="K10" s="35">
        <v>5247856.722276742</v>
      </c>
      <c r="L10" s="35">
        <v>4817799.803729146</v>
      </c>
      <c r="M10" s="35">
        <v>4410989.205103042</v>
      </c>
    </row>
    <row x14ac:dyDescent="0.25" r="11" customHeight="1" ht="18">
      <c r="A11" s="14">
        <v>45350.395833333336</v>
      </c>
      <c r="B11" s="12">
        <v>524</v>
      </c>
      <c r="C11" s="12">
        <v>879</v>
      </c>
      <c r="D11" s="12">
        <v>853</v>
      </c>
      <c r="E11" s="12">
        <v>348</v>
      </c>
      <c r="F11" s="12">
        <v>314</v>
      </c>
      <c r="G11" s="12">
        <v>357</v>
      </c>
      <c r="H11" s="15">
        <f>AVERAGE(E11:G11)*1000/49350</f>
      </c>
      <c r="I11" s="17"/>
      <c r="J11" s="34">
        <v>40</v>
      </c>
      <c r="K11" s="35">
        <v>3045267.909715407</v>
      </c>
      <c r="L11" s="35">
        <v>5108378.802747792</v>
      </c>
      <c r="M11" s="35">
        <v>4957277.723258096</v>
      </c>
    </row>
    <row x14ac:dyDescent="0.25" r="12" customHeight="1" ht="18">
      <c r="A12" s="46">
        <v>45350.666666666664</v>
      </c>
      <c r="B12" s="12">
        <v>87</v>
      </c>
      <c r="C12" s="12">
        <v>28</v>
      </c>
      <c r="D12" s="12">
        <v>28</v>
      </c>
      <c r="E12" s="12">
        <v>393</v>
      </c>
      <c r="F12" s="12">
        <v>355</v>
      </c>
      <c r="G12" s="12">
        <v>394</v>
      </c>
      <c r="H12" s="15">
        <f>AVERAGE(E12:G12)*1000/49350</f>
      </c>
      <c r="I12" s="17"/>
      <c r="J12" s="34">
        <v>40</v>
      </c>
      <c r="K12" s="35">
        <v>451150.6129597197</v>
      </c>
      <c r="L12" s="35">
        <v>145197.89842381785</v>
      </c>
      <c r="M12" s="35">
        <v>145197.89842381785</v>
      </c>
    </row>
    <row x14ac:dyDescent="0.25" r="13" customHeight="1" ht="18">
      <c r="A13" s="14">
        <v>45351.395833333336</v>
      </c>
      <c r="B13" s="12">
        <v>114</v>
      </c>
      <c r="C13" s="12">
        <v>24</v>
      </c>
      <c r="D13" s="12">
        <v>15</v>
      </c>
      <c r="E13" s="12">
        <v>393</v>
      </c>
      <c r="F13" s="12">
        <v>355</v>
      </c>
      <c r="G13" s="12">
        <v>394</v>
      </c>
      <c r="H13" s="15">
        <f>AVERAGE(E13:G13)*1000/49350</f>
      </c>
      <c r="I13" s="17"/>
      <c r="J13" s="34">
        <v>40</v>
      </c>
      <c r="K13" s="35">
        <v>591162.8721541156</v>
      </c>
      <c r="L13" s="35">
        <v>124455.34150612958</v>
      </c>
      <c r="M13" s="35">
        <v>77784.588441331</v>
      </c>
    </row>
    <row x14ac:dyDescent="0.25" r="14" customHeight="1" ht="18">
      <c r="A14" s="14">
        <v>45352.395833333336</v>
      </c>
      <c r="B14" s="12">
        <v>81</v>
      </c>
      <c r="C14" s="12">
        <v>20</v>
      </c>
      <c r="D14" s="12">
        <v>20</v>
      </c>
      <c r="E14" s="12">
        <v>393</v>
      </c>
      <c r="F14" s="12">
        <v>355</v>
      </c>
      <c r="G14" s="12">
        <v>394</v>
      </c>
      <c r="H14" s="15">
        <f>AVERAGE(E14:G14)*1000/49350</f>
      </c>
      <c r="I14" s="17"/>
      <c r="J14" s="34">
        <v>40</v>
      </c>
      <c r="K14" s="35">
        <v>420036.77758318733</v>
      </c>
      <c r="L14" s="35">
        <v>103712.78458844133</v>
      </c>
      <c r="M14" s="35">
        <v>103712.78458844133</v>
      </c>
    </row>
    <row x14ac:dyDescent="0.25" r="15" customHeight="1" ht="18">
      <c r="A15" s="14">
        <v>45355.395833333336</v>
      </c>
      <c r="B15" s="12">
        <v>61</v>
      </c>
      <c r="C15" s="12">
        <v>27</v>
      </c>
      <c r="D15" s="12">
        <v>14</v>
      </c>
      <c r="E15" s="12">
        <v>393</v>
      </c>
      <c r="F15" s="12">
        <v>355</v>
      </c>
      <c r="G15" s="12">
        <v>394</v>
      </c>
      <c r="H15" s="15">
        <f>AVERAGE(E15:G15)*1000/49350</f>
      </c>
      <c r="I15" s="17"/>
      <c r="J15" s="34">
        <v>40</v>
      </c>
      <c r="K15" s="35">
        <v>316323.992994746</v>
      </c>
      <c r="L15" s="35">
        <v>140012.2591943958</v>
      </c>
      <c r="M15" s="35">
        <v>72598.94921190893</v>
      </c>
    </row>
    <row x14ac:dyDescent="0.25" r="16" customHeight="1" ht="18">
      <c r="A16" s="14">
        <v>45356.395833333336</v>
      </c>
      <c r="B16" s="12">
        <v>126</v>
      </c>
      <c r="C16" s="12">
        <v>100</v>
      </c>
      <c r="D16" s="12">
        <v>58</v>
      </c>
      <c r="E16" s="12">
        <v>393</v>
      </c>
      <c r="F16" s="12">
        <v>355</v>
      </c>
      <c r="G16" s="12">
        <v>394</v>
      </c>
      <c r="H16" s="15">
        <f>AVERAGE(E16:G16)*1000/49350</f>
      </c>
      <c r="I16" s="17"/>
      <c r="J16" s="34">
        <v>40</v>
      </c>
      <c r="K16" s="35">
        <v>653390.5429071804</v>
      </c>
      <c r="L16" s="35">
        <v>518563.9229422066</v>
      </c>
      <c r="M16" s="35">
        <v>300767.0753064798</v>
      </c>
    </row>
    <row x14ac:dyDescent="0.25" r="17" customHeight="1" ht="18">
      <c r="A17" s="14">
        <v>45357.395833333336</v>
      </c>
      <c r="B17" s="12">
        <v>134</v>
      </c>
      <c r="C17" s="12">
        <v>63</v>
      </c>
      <c r="D17" s="12">
        <v>69</v>
      </c>
      <c r="E17" s="12">
        <v>393</v>
      </c>
      <c r="F17" s="12">
        <v>355</v>
      </c>
      <c r="G17" s="12">
        <v>394</v>
      </c>
      <c r="H17" s="15">
        <f>AVERAGE(E17:G17)*1000/49350</f>
      </c>
      <c r="I17" s="17"/>
      <c r="J17" s="34">
        <v>40</v>
      </c>
      <c r="K17" s="35">
        <v>694875.6567425568</v>
      </c>
      <c r="L17" s="35">
        <v>326695.2714535902</v>
      </c>
      <c r="M17" s="35">
        <v>357809.1068301226</v>
      </c>
    </row>
    <row x14ac:dyDescent="0.25" r="18" customHeight="1" ht="18">
      <c r="A18" s="14">
        <v>45358.395833333336</v>
      </c>
      <c r="B18" s="12">
        <v>95</v>
      </c>
      <c r="C18" s="12">
        <v>75</v>
      </c>
      <c r="D18" s="12">
        <v>47</v>
      </c>
      <c r="E18" s="12">
        <v>393</v>
      </c>
      <c r="F18" s="12">
        <v>355</v>
      </c>
      <c r="G18" s="12">
        <v>394</v>
      </c>
      <c r="H18" s="15">
        <f>AVERAGE(E18:G18)*1000/49350</f>
      </c>
      <c r="I18" s="17"/>
      <c r="J18" s="34">
        <v>40</v>
      </c>
      <c r="K18" s="35">
        <v>492635.7267950963</v>
      </c>
      <c r="L18" s="35">
        <v>388922.942206655</v>
      </c>
      <c r="M18" s="35">
        <v>243725.0437828371</v>
      </c>
    </row>
    <row x14ac:dyDescent="0.25" r="19" customHeight="1" ht="18">
      <c r="A19" s="46">
        <v>45358.666666666664</v>
      </c>
      <c r="B19" s="12">
        <v>8</v>
      </c>
      <c r="C19" s="12">
        <v>3</v>
      </c>
      <c r="D19" s="12">
        <v>3</v>
      </c>
      <c r="E19" s="12">
        <v>393</v>
      </c>
      <c r="F19" s="12">
        <v>355</v>
      </c>
      <c r="G19" s="12">
        <v>394</v>
      </c>
      <c r="H19" s="15">
        <f>AVERAGE(E19:G19)*1000/49350</f>
      </c>
      <c r="I19" s="17"/>
      <c r="J19" s="34">
        <v>40</v>
      </c>
      <c r="K19" s="35">
        <v>41485.11383537653</v>
      </c>
      <c r="L19" s="35">
        <v>15556.917688266198</v>
      </c>
      <c r="M19" s="35">
        <v>15556.917688266198</v>
      </c>
    </row>
    <row x14ac:dyDescent="0.25" r="20" customHeight="1" ht="18">
      <c r="A20" s="14">
        <v>45359.395833333336</v>
      </c>
      <c r="B20" s="12">
        <v>210</v>
      </c>
      <c r="C20" s="12">
        <v>30</v>
      </c>
      <c r="D20" s="12">
        <v>24</v>
      </c>
      <c r="E20" s="12">
        <v>393</v>
      </c>
      <c r="F20" s="12">
        <v>355</v>
      </c>
      <c r="G20" s="12">
        <v>394</v>
      </c>
      <c r="H20" s="15">
        <f>AVERAGE(E20:G20)*1000/49350</f>
      </c>
      <c r="I20" s="17"/>
      <c r="J20" s="34">
        <v>40</v>
      </c>
      <c r="K20" s="35">
        <v>1088984.2381786339</v>
      </c>
      <c r="L20" s="35">
        <v>155569.176882662</v>
      </c>
      <c r="M20" s="35">
        <v>124455.34150612958</v>
      </c>
    </row>
    <row x14ac:dyDescent="0.25" r="21" customHeight="1" ht="18">
      <c r="A21" s="14">
        <v>45363.395833333336</v>
      </c>
      <c r="B21" s="12">
        <v>44</v>
      </c>
      <c r="C21" s="12">
        <v>50</v>
      </c>
      <c r="D21" s="12">
        <v>33</v>
      </c>
      <c r="E21" s="12">
        <v>393</v>
      </c>
      <c r="F21" s="12">
        <v>355</v>
      </c>
      <c r="G21" s="12">
        <v>394</v>
      </c>
      <c r="H21" s="15">
        <f>AVERAGE(E21:G21)*1000/49350</f>
      </c>
      <c r="I21" s="17"/>
      <c r="J21" s="34">
        <v>40</v>
      </c>
      <c r="K21" s="35">
        <v>228168.1260945709</v>
      </c>
      <c r="L21" s="35">
        <v>259281.9614711033</v>
      </c>
      <c r="M21" s="35">
        <v>171126.0945709282</v>
      </c>
    </row>
    <row x14ac:dyDescent="0.25" r="22" customHeight="1" ht="18">
      <c r="A22" s="14">
        <v>45364.395833333336</v>
      </c>
      <c r="B22" s="12">
        <v>91</v>
      </c>
      <c r="C22" s="12">
        <v>129</v>
      </c>
      <c r="D22" s="12">
        <v>106</v>
      </c>
      <c r="E22" s="12">
        <v>393</v>
      </c>
      <c r="F22" s="12">
        <v>355</v>
      </c>
      <c r="G22" s="12">
        <v>394</v>
      </c>
      <c r="H22" s="15">
        <f>AVERAGE(E22:G22)*1000/49350</f>
      </c>
      <c r="I22" s="17"/>
      <c r="J22" s="34">
        <v>40</v>
      </c>
      <c r="K22" s="35">
        <v>471893.169877408</v>
      </c>
      <c r="L22" s="35">
        <v>668947.4605954465</v>
      </c>
      <c r="M22" s="35">
        <v>549677.758318739</v>
      </c>
    </row>
    <row x14ac:dyDescent="0.25" r="23" customHeight="1" ht="18">
      <c r="A23" s="14">
        <v>45365.395833333336</v>
      </c>
      <c r="B23" s="12">
        <v>115</v>
      </c>
      <c r="C23" s="12">
        <v>127</v>
      </c>
      <c r="D23" s="12">
        <v>116</v>
      </c>
      <c r="E23" s="12">
        <v>393</v>
      </c>
      <c r="F23" s="12">
        <v>355</v>
      </c>
      <c r="G23" s="12">
        <v>394</v>
      </c>
      <c r="H23" s="15">
        <f>AVERAGE(E23:G23)*1000/49350</f>
      </c>
      <c r="I23" s="17"/>
      <c r="J23" s="34">
        <v>40</v>
      </c>
      <c r="K23" s="35">
        <v>596348.5113835376</v>
      </c>
      <c r="L23" s="35">
        <v>658576.1821366024</v>
      </c>
      <c r="M23" s="35">
        <v>601534.1506129596</v>
      </c>
    </row>
    <row x14ac:dyDescent="0.25" r="24" customHeight="1" ht="18">
      <c r="A24" s="14">
        <v>45366.395833333336</v>
      </c>
      <c r="B24" s="12">
        <v>45</v>
      </c>
      <c r="C24" s="12">
        <v>19</v>
      </c>
      <c r="D24" s="12">
        <v>17</v>
      </c>
      <c r="E24" s="12">
        <v>393</v>
      </c>
      <c r="F24" s="12">
        <v>417</v>
      </c>
      <c r="G24" s="12">
        <v>408</v>
      </c>
      <c r="H24" s="15">
        <f>AVERAGE(E24:G24)*1000/49350</f>
      </c>
      <c r="I24" s="17"/>
      <c r="J24" s="34">
        <v>400</v>
      </c>
      <c r="K24" s="35">
        <v>2187931.0344827585</v>
      </c>
      <c r="L24" s="35">
        <v>923793.1034482758</v>
      </c>
      <c r="M24" s="35">
        <v>826551.724137931</v>
      </c>
    </row>
    <row x14ac:dyDescent="0.25" r="25" customHeight="1" ht="18">
      <c r="A25" s="14">
        <v>45366.6875</v>
      </c>
      <c r="B25" s="12">
        <v>6</v>
      </c>
      <c r="C25" s="12">
        <v>6</v>
      </c>
      <c r="D25" s="12">
        <v>6</v>
      </c>
      <c r="E25" s="12">
        <v>393</v>
      </c>
      <c r="F25" s="12">
        <v>417</v>
      </c>
      <c r="G25" s="12">
        <v>408</v>
      </c>
      <c r="H25" s="15">
        <f>AVERAGE(E25:G25)*1000/49350</f>
      </c>
      <c r="I25" s="17"/>
      <c r="J25" s="34">
        <v>40</v>
      </c>
      <c r="K25" s="35">
        <v>29172.413793103446</v>
      </c>
      <c r="L25" s="35">
        <v>29172.413793103446</v>
      </c>
      <c r="M25" s="35">
        <v>29172.413793103446</v>
      </c>
    </row>
    <row x14ac:dyDescent="0.25" r="26" customHeight="1" ht="18">
      <c r="A26" s="14">
        <v>45367.395833333336</v>
      </c>
      <c r="B26" s="12">
        <v>74</v>
      </c>
      <c r="C26" s="12">
        <v>39</v>
      </c>
      <c r="D26" s="12">
        <v>43</v>
      </c>
      <c r="E26" s="12">
        <v>393</v>
      </c>
      <c r="F26" s="12">
        <v>417</v>
      </c>
      <c r="G26" s="12">
        <v>408</v>
      </c>
      <c r="H26" s="15">
        <f>AVERAGE(E26:G26)*1000/49350</f>
      </c>
      <c r="I26" s="17"/>
      <c r="J26" s="34">
        <v>40</v>
      </c>
      <c r="K26" s="35">
        <v>359793.1034482758</v>
      </c>
      <c r="L26" s="35">
        <v>189620.6896551724</v>
      </c>
      <c r="M26" s="35">
        <v>209068.96551724136</v>
      </c>
    </row>
    <row x14ac:dyDescent="0.25" r="27" customHeight="1" ht="18">
      <c r="A27" s="14">
        <v>45368.395833333336</v>
      </c>
      <c r="B27" s="12">
        <v>63</v>
      </c>
      <c r="C27" s="12">
        <v>34</v>
      </c>
      <c r="D27" s="12">
        <v>11</v>
      </c>
      <c r="E27" s="12">
        <v>393</v>
      </c>
      <c r="F27" s="12">
        <v>417</v>
      </c>
      <c r="G27" s="12">
        <v>408</v>
      </c>
      <c r="H27" s="15">
        <f>AVERAGE(E27:G27)*1000/49350</f>
      </c>
      <c r="I27" s="17"/>
      <c r="J27" s="34">
        <v>40</v>
      </c>
      <c r="K27" s="35">
        <v>306310.3448275862</v>
      </c>
      <c r="L27" s="35">
        <v>165310.3448275862</v>
      </c>
      <c r="M27" s="35">
        <v>53482.75862068965</v>
      </c>
    </row>
    <row x14ac:dyDescent="0.25" r="28" customHeight="1" ht="18">
      <c r="A28" s="14">
        <v>45369.395833333336</v>
      </c>
      <c r="B28" s="12">
        <v>106</v>
      </c>
      <c r="C28" s="12">
        <v>23</v>
      </c>
      <c r="D28" s="12">
        <v>18</v>
      </c>
      <c r="E28" s="12">
        <v>393</v>
      </c>
      <c r="F28" s="12">
        <v>417</v>
      </c>
      <c r="G28" s="12">
        <v>408</v>
      </c>
      <c r="H28" s="15">
        <f>AVERAGE(E28:G28)*1000/49350</f>
      </c>
      <c r="I28" s="17"/>
      <c r="J28" s="34">
        <v>40</v>
      </c>
      <c r="K28" s="35">
        <v>515379.3103448276</v>
      </c>
      <c r="L28" s="35">
        <v>111827.58620689655</v>
      </c>
      <c r="M28" s="35">
        <v>87517.24137931035</v>
      </c>
    </row>
    <row x14ac:dyDescent="0.25" r="29" customHeight="1" ht="18">
      <c r="A29" s="14">
        <v>45370.395833333336</v>
      </c>
      <c r="B29" s="12">
        <v>11</v>
      </c>
      <c r="C29" s="12">
        <v>16</v>
      </c>
      <c r="D29" s="12">
        <v>12</v>
      </c>
      <c r="E29" s="12">
        <v>393</v>
      </c>
      <c r="F29" s="12">
        <v>417</v>
      </c>
      <c r="G29" s="12">
        <v>408</v>
      </c>
      <c r="H29" s="15">
        <f>AVERAGE(E29:G29)*1000/49350</f>
      </c>
      <c r="I29" s="17"/>
      <c r="J29" s="34">
        <v>400</v>
      </c>
      <c r="K29" s="35">
        <v>534827.5862068966</v>
      </c>
      <c r="L29" s="35">
        <v>777931.0344827586</v>
      </c>
      <c r="M29" s="35">
        <v>583448.275862069</v>
      </c>
    </row>
    <row x14ac:dyDescent="0.25" r="30" customHeight="1" ht="18">
      <c r="A30" s="14">
        <v>45371.395833333336</v>
      </c>
      <c r="B30" s="12">
        <v>14</v>
      </c>
      <c r="C30" s="12">
        <v>15</v>
      </c>
      <c r="D30" s="12">
        <v>13</v>
      </c>
      <c r="E30" s="12">
        <v>393</v>
      </c>
      <c r="F30" s="12">
        <v>417</v>
      </c>
      <c r="G30" s="12">
        <v>408</v>
      </c>
      <c r="H30" s="15">
        <f>AVERAGE(E30:G30)*1000/49350</f>
      </c>
      <c r="I30" s="17"/>
      <c r="J30" s="34">
        <v>400</v>
      </c>
      <c r="K30" s="35">
        <v>680689.6551724138</v>
      </c>
      <c r="L30" s="35">
        <v>729310.3448275862</v>
      </c>
      <c r="M30" s="35">
        <v>632068.9655172414</v>
      </c>
    </row>
    <row x14ac:dyDescent="0.25" r="31" customHeight="1" ht="18">
      <c r="A31" s="14">
        <v>45372.395833333336</v>
      </c>
      <c r="B31" s="12">
        <v>18</v>
      </c>
      <c r="C31" s="12">
        <v>21</v>
      </c>
      <c r="D31" s="12">
        <v>37</v>
      </c>
      <c r="E31" s="12">
        <v>393</v>
      </c>
      <c r="F31" s="12">
        <v>417</v>
      </c>
      <c r="G31" s="12">
        <v>408</v>
      </c>
      <c r="H31" s="15">
        <f>AVERAGE(E31:G31)*1000/49350</f>
      </c>
      <c r="I31" s="17"/>
      <c r="J31" s="34">
        <v>400</v>
      </c>
      <c r="K31" s="35">
        <v>875172.4137931034</v>
      </c>
      <c r="L31" s="35">
        <v>1021034.4827586206</v>
      </c>
      <c r="M31" s="35">
        <v>1798965.5172413792</v>
      </c>
    </row>
    <row x14ac:dyDescent="0.25" r="32" customHeight="1" ht="18">
      <c r="A32" s="14">
        <v>45373.395833333336</v>
      </c>
      <c r="B32" s="12">
        <v>25</v>
      </c>
      <c r="C32" s="12">
        <v>41</v>
      </c>
      <c r="D32" s="12">
        <v>39</v>
      </c>
      <c r="E32" s="12">
        <v>362</v>
      </c>
      <c r="F32" s="12">
        <v>413</v>
      </c>
      <c r="G32" s="12">
        <v>418</v>
      </c>
      <c r="H32" s="15">
        <f>AVERAGE(E32:G32)*1000/49350</f>
      </c>
      <c r="I32" s="17"/>
      <c r="J32" s="34">
        <v>400</v>
      </c>
      <c r="K32" s="35">
        <v>1240989.1031014249</v>
      </c>
      <c r="L32" s="35">
        <v>2035222.129086337</v>
      </c>
      <c r="M32" s="35">
        <v>1935943.000838223</v>
      </c>
    </row>
    <row x14ac:dyDescent="0.25" r="33" customHeight="1" ht="18">
      <c r="A33" s="14">
        <v>45375.395833333336</v>
      </c>
      <c r="B33" s="12">
        <v>60</v>
      </c>
      <c r="C33" s="12">
        <v>23</v>
      </c>
      <c r="D33" s="12">
        <v>30</v>
      </c>
      <c r="E33" s="12">
        <v>362</v>
      </c>
      <c r="F33" s="12">
        <v>413</v>
      </c>
      <c r="G33" s="12">
        <v>418</v>
      </c>
      <c r="H33" s="15">
        <f>AVERAGE(E33:G33)*1000/49350</f>
      </c>
      <c r="I33" s="17"/>
      <c r="J33" s="34">
        <v>400</v>
      </c>
      <c r="K33" s="35">
        <v>2978373.84744342</v>
      </c>
      <c r="L33" s="35">
        <v>1141709.974853311</v>
      </c>
      <c r="M33" s="35">
        <v>1489186.92372171</v>
      </c>
    </row>
    <row x14ac:dyDescent="0.25" r="34" customHeight="1" ht="18">
      <c r="A34" s="14">
        <v>45376.395833333336</v>
      </c>
      <c r="B34" s="12">
        <v>24</v>
      </c>
      <c r="C34" s="12">
        <v>23</v>
      </c>
      <c r="D34" s="12">
        <v>16</v>
      </c>
      <c r="E34" s="12">
        <v>362</v>
      </c>
      <c r="F34" s="12">
        <v>413</v>
      </c>
      <c r="G34" s="12">
        <v>418</v>
      </c>
      <c r="H34" s="15">
        <f>AVERAGE(E34:G34)*1000/49350</f>
      </c>
      <c r="I34" s="17"/>
      <c r="J34" s="34">
        <v>400</v>
      </c>
      <c r="K34" s="35">
        <v>1191349.538977368</v>
      </c>
      <c r="L34" s="35">
        <v>1141709.974853311</v>
      </c>
      <c r="M34" s="35">
        <v>794233.025984912</v>
      </c>
    </row>
    <row x14ac:dyDescent="0.25" r="35" customHeight="1" ht="18">
      <c r="A35" s="14">
        <v>45376.729166666664</v>
      </c>
      <c r="B35" s="12">
        <v>7</v>
      </c>
      <c r="C35" s="12">
        <v>6</v>
      </c>
      <c r="D35" s="12">
        <v>6</v>
      </c>
      <c r="E35" s="12">
        <v>362</v>
      </c>
      <c r="F35" s="12">
        <v>413</v>
      </c>
      <c r="G35" s="12">
        <v>418</v>
      </c>
      <c r="H35" s="15">
        <f>AVERAGE(E35:G35)*1000/49350</f>
      </c>
      <c r="I35" s="17"/>
      <c r="J35" s="34">
        <v>40</v>
      </c>
      <c r="K35" s="35">
        <v>34747.6948868399</v>
      </c>
      <c r="L35" s="35">
        <v>29783.738474434198</v>
      </c>
      <c r="M35" s="35">
        <v>29783.738474434198</v>
      </c>
    </row>
    <row x14ac:dyDescent="0.25" r="36" customHeight="1" ht="18">
      <c r="A36" s="14">
        <v>45377.395833333336</v>
      </c>
      <c r="B36" s="12">
        <v>18</v>
      </c>
      <c r="C36" s="12">
        <v>11</v>
      </c>
      <c r="D36" s="12">
        <v>7</v>
      </c>
      <c r="E36" s="12">
        <v>362</v>
      </c>
      <c r="F36" s="12">
        <v>413</v>
      </c>
      <c r="G36" s="12">
        <v>418</v>
      </c>
      <c r="H36" s="15">
        <f>AVERAGE(E36:G36)*1000/49350</f>
      </c>
      <c r="I36" s="17"/>
      <c r="J36" s="34">
        <v>40</v>
      </c>
      <c r="K36" s="35">
        <v>89351.2154233026</v>
      </c>
      <c r="L36" s="35">
        <v>54603.520536462696</v>
      </c>
      <c r="M36" s="35">
        <v>34747.6948868399</v>
      </c>
    </row>
    <row x14ac:dyDescent="0.25" r="37" customHeight="1" ht="18">
      <c r="A37" s="14">
        <v>45380.395833333336</v>
      </c>
      <c r="B37" s="12">
        <v>14</v>
      </c>
      <c r="C37" s="12">
        <v>18</v>
      </c>
      <c r="D37" s="12">
        <v>21</v>
      </c>
      <c r="E37" s="12">
        <v>362</v>
      </c>
      <c r="F37" s="12">
        <v>413</v>
      </c>
      <c r="G37" s="12">
        <v>418</v>
      </c>
      <c r="H37" s="15">
        <f>AVERAGE(E37:G37)*1000/49350</f>
      </c>
      <c r="I37" s="17"/>
      <c r="J37" s="34">
        <v>400</v>
      </c>
      <c r="K37" s="35">
        <v>694953.897736798</v>
      </c>
      <c r="L37" s="35">
        <v>893512.154233026</v>
      </c>
      <c r="M37" s="35">
        <v>1042430.846605197</v>
      </c>
    </row>
  </sheetData>
  <mergeCells count="4">
    <mergeCell ref="A1:M1"/>
    <mergeCell ref="B2:D2"/>
    <mergeCell ref="E2:H2"/>
    <mergeCell ref="I4:I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"/>
  <sheetViews>
    <sheetView workbookViewId="0"/>
  </sheetViews>
  <sheetFormatPr defaultRowHeight="15" x14ac:dyDescent="0.25"/>
  <cols>
    <col min="1" max="1" style="19" width="12.719285714285713" customWidth="1" bestFit="1"/>
    <col min="2" max="2" style="20" width="17.14785714285714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1" width="13.005" customWidth="1" bestFit="1"/>
    <col min="9" max="9" style="23" width="13.005" customWidth="1" bestFit="1"/>
    <col min="10" max="10" style="24" width="13.005" customWidth="1" bestFit="1"/>
    <col min="11" max="11" style="36" width="13.005" customWidth="1" bestFit="1"/>
    <col min="12" max="12" style="37" width="13.005" customWidth="1" bestFit="1"/>
    <col min="13" max="13" style="37" width="13.005" customWidth="1" bestFit="1"/>
    <col min="14" max="14" style="37" width="13.005" customWidth="1" bestFit="1"/>
  </cols>
  <sheetData>
    <row x14ac:dyDescent="0.25" r="1" customHeight="1" ht="18">
      <c r="A1" s="40" t="s">
        <v>14</v>
      </c>
      <c r="B1" s="41"/>
      <c r="C1" s="40"/>
      <c r="D1" s="40"/>
      <c r="E1" s="40"/>
      <c r="F1" s="40"/>
      <c r="G1" s="40"/>
      <c r="H1" s="40"/>
      <c r="I1" s="42"/>
      <c r="J1" s="43"/>
      <c r="K1" s="41"/>
      <c r="L1" s="44"/>
      <c r="M1" s="44"/>
      <c r="N1" s="44"/>
    </row>
    <row x14ac:dyDescent="0.25" r="2" customHeight="1" ht="18">
      <c r="A2" s="5" t="s">
        <v>15</v>
      </c>
      <c r="B2" s="6" t="s">
        <v>2</v>
      </c>
      <c r="C2" s="10" t="s">
        <v>3</v>
      </c>
      <c r="D2" s="10"/>
      <c r="E2" s="10"/>
      <c r="F2" s="10" t="s">
        <v>4</v>
      </c>
      <c r="G2" s="10"/>
      <c r="H2" s="10"/>
      <c r="I2" s="11"/>
      <c r="J2" s="9" t="s">
        <v>5</v>
      </c>
      <c r="K2" s="32" t="s">
        <v>6</v>
      </c>
      <c r="L2" s="33" t="s">
        <v>7</v>
      </c>
      <c r="M2" s="33"/>
      <c r="N2" s="33"/>
    </row>
    <row x14ac:dyDescent="0.25" r="3" customHeight="1" ht="18">
      <c r="A3" s="5"/>
      <c r="B3" s="6"/>
      <c r="C3" s="10" t="s">
        <v>8</v>
      </c>
      <c r="D3" s="10" t="s">
        <v>9</v>
      </c>
      <c r="E3" s="10" t="s">
        <v>10</v>
      </c>
      <c r="F3" s="12">
        <v>1</v>
      </c>
      <c r="G3" s="12">
        <v>2</v>
      </c>
      <c r="H3" s="12">
        <v>3</v>
      </c>
      <c r="I3" s="11" t="s">
        <v>11</v>
      </c>
      <c r="J3" s="9"/>
      <c r="K3" s="32"/>
      <c r="L3" s="33" t="s">
        <v>8</v>
      </c>
      <c r="M3" s="33" t="s">
        <v>9</v>
      </c>
      <c r="N3" s="33" t="s">
        <v>10</v>
      </c>
    </row>
    <row x14ac:dyDescent="0.25" r="4" customHeight="1" ht="18">
      <c r="A4" s="13">
        <v>1</v>
      </c>
      <c r="B4" s="14">
        <v>45341.625</v>
      </c>
      <c r="C4" s="12">
        <v>703</v>
      </c>
      <c r="D4" s="12">
        <v>1075</v>
      </c>
      <c r="E4" s="12">
        <v>840</v>
      </c>
      <c r="F4" s="12">
        <v>389</v>
      </c>
      <c r="G4" s="12">
        <v>382</v>
      </c>
      <c r="H4" s="12">
        <v>358</v>
      </c>
      <c r="I4" s="15">
        <f>AVERAGE(F4:H4)*1000/47400</f>
      </c>
      <c r="J4" s="16" t="s">
        <v>12</v>
      </c>
      <c r="K4" s="34">
        <v>40</v>
      </c>
      <c r="L4" s="35">
        <v>3541775.02214349</v>
      </c>
      <c r="M4" s="35">
        <v>5415943.312666076</v>
      </c>
      <c r="N4" s="35">
        <v>4231992.914083259</v>
      </c>
    </row>
    <row x14ac:dyDescent="0.25" r="5" customHeight="1" ht="18">
      <c r="A5" s="7"/>
      <c r="B5" s="14">
        <v>45342.395833333336</v>
      </c>
      <c r="C5" s="12">
        <v>2894</v>
      </c>
      <c r="D5" s="12">
        <v>5115</v>
      </c>
      <c r="E5" s="12">
        <v>4942</v>
      </c>
      <c r="F5" s="12">
        <v>389</v>
      </c>
      <c r="G5" s="12">
        <v>382</v>
      </c>
      <c r="H5" s="12">
        <v>358</v>
      </c>
      <c r="I5" s="15">
        <f>AVERAGE(F5:H5)*1000/47400</f>
      </c>
      <c r="J5" s="17"/>
      <c r="K5" s="34">
        <v>40</v>
      </c>
      <c r="L5" s="35">
        <v>14580223.206377326</v>
      </c>
      <c r="M5" s="35">
        <v>25769813.994685564</v>
      </c>
      <c r="N5" s="35">
        <v>24898224.97785651</v>
      </c>
    </row>
    <row x14ac:dyDescent="0.25" r="6" customHeight="1" ht="18">
      <c r="A6" s="7"/>
      <c r="B6" s="14">
        <v>45343.395833333336</v>
      </c>
      <c r="C6" s="12">
        <v>771</v>
      </c>
      <c r="D6" s="12">
        <v>1022</v>
      </c>
      <c r="E6" s="12">
        <v>1224</v>
      </c>
      <c r="F6" s="12">
        <v>358</v>
      </c>
      <c r="G6" s="12">
        <v>377</v>
      </c>
      <c r="H6" s="12">
        <v>401</v>
      </c>
      <c r="I6" s="15">
        <f>AVERAGE(F6:H6)*1000/47400</f>
      </c>
      <c r="J6" s="17"/>
      <c r="K6" s="34">
        <v>400</v>
      </c>
      <c r="L6" s="35">
        <v>38604295.774647884</v>
      </c>
      <c r="M6" s="35">
        <v>51171971.83098591</v>
      </c>
      <c r="N6" s="35">
        <v>61286197.18309859</v>
      </c>
    </row>
    <row x14ac:dyDescent="0.25" r="7" customHeight="1" ht="18">
      <c r="A7" s="7"/>
      <c r="B7" s="14">
        <v>45344.395833333336</v>
      </c>
      <c r="C7" s="12">
        <v>1467</v>
      </c>
      <c r="D7" s="12">
        <v>1071</v>
      </c>
      <c r="E7" s="12">
        <v>995</v>
      </c>
      <c r="F7" s="12">
        <v>358</v>
      </c>
      <c r="G7" s="12">
        <v>377</v>
      </c>
      <c r="H7" s="12">
        <v>401</v>
      </c>
      <c r="I7" s="15">
        <f>AVERAGE(F7:H7)*1000/47400</f>
      </c>
      <c r="J7" s="17"/>
      <c r="K7" s="34">
        <v>400</v>
      </c>
      <c r="L7" s="35">
        <v>73453309.85915492</v>
      </c>
      <c r="M7" s="35">
        <v>53625422.535211265</v>
      </c>
      <c r="N7" s="35">
        <v>49820070.42253521</v>
      </c>
    </row>
    <row x14ac:dyDescent="0.25" r="8" customHeight="1" ht="18">
      <c r="A8" s="7"/>
      <c r="B8" s="14">
        <v>45345.395833333336</v>
      </c>
      <c r="C8" s="12">
        <v>964</v>
      </c>
      <c r="D8" s="12">
        <v>1249</v>
      </c>
      <c r="E8" s="12">
        <v>1219</v>
      </c>
      <c r="F8" s="12">
        <v>358</v>
      </c>
      <c r="G8" s="12">
        <v>377</v>
      </c>
      <c r="H8" s="12">
        <v>401</v>
      </c>
      <c r="I8" s="15">
        <f>AVERAGE(F8:H8)*1000/47400</f>
      </c>
      <c r="J8" s="17"/>
      <c r="K8" s="34">
        <v>400</v>
      </c>
      <c r="L8" s="35">
        <v>48267887.32394366</v>
      </c>
      <c r="M8" s="35">
        <v>62537957.74647887</v>
      </c>
      <c r="N8" s="35">
        <v>61035845.07042253</v>
      </c>
    </row>
    <row x14ac:dyDescent="0.25" r="9" customHeight="1" ht="18">
      <c r="A9" s="13">
        <v>2</v>
      </c>
      <c r="B9" s="14">
        <v>45385.729166666664</v>
      </c>
      <c r="C9" s="12">
        <v>321</v>
      </c>
      <c r="D9" s="12">
        <v>387</v>
      </c>
      <c r="E9" s="12">
        <v>389</v>
      </c>
      <c r="F9" s="12">
        <v>466</v>
      </c>
      <c r="G9" s="12">
        <v>484</v>
      </c>
      <c r="H9" s="12">
        <v>417</v>
      </c>
      <c r="I9" s="15">
        <f>AVERAGE(F9:H9)*1000/49350</f>
      </c>
      <c r="J9" s="17"/>
      <c r="K9" s="34">
        <v>200.00000000000006</v>
      </c>
      <c r="L9" s="35">
        <v>6953043.16020483</v>
      </c>
      <c r="M9" s="35">
        <v>8382640.819312363</v>
      </c>
      <c r="N9" s="35">
        <v>8425961.960497439</v>
      </c>
    </row>
    <row x14ac:dyDescent="0.25" r="10" customHeight="1" ht="18">
      <c r="A10" s="7"/>
      <c r="B10" s="14">
        <v>45386.395833333336</v>
      </c>
      <c r="C10" s="12">
        <v>607</v>
      </c>
      <c r="D10" s="12">
        <v>720</v>
      </c>
      <c r="E10" s="12">
        <v>838</v>
      </c>
      <c r="F10" s="12">
        <v>466</v>
      </c>
      <c r="G10" s="12">
        <v>484</v>
      </c>
      <c r="H10" s="12">
        <v>417</v>
      </c>
      <c r="I10" s="15">
        <f>AVERAGE(F10:H10)*1000/49350</f>
      </c>
      <c r="J10" s="17"/>
      <c r="K10" s="34">
        <v>200</v>
      </c>
      <c r="L10" s="35">
        <v>13147966.349670812</v>
      </c>
      <c r="M10" s="35">
        <v>15595610.826627651</v>
      </c>
      <c r="N10" s="35">
        <v>18151558.156547185</v>
      </c>
    </row>
    <row x14ac:dyDescent="0.25" r="11" customHeight="1" ht="18">
      <c r="A11" s="7"/>
      <c r="B11" s="14">
        <v>45387.395833333336</v>
      </c>
      <c r="C11" s="12">
        <v>2529</v>
      </c>
      <c r="D11" s="12">
        <v>2714</v>
      </c>
      <c r="E11" s="12">
        <v>1892</v>
      </c>
      <c r="F11" s="12">
        <v>466</v>
      </c>
      <c r="G11" s="12">
        <v>484</v>
      </c>
      <c r="H11" s="12">
        <v>417</v>
      </c>
      <c r="I11" s="15">
        <f>AVERAGE(F11:H11)*1000/49350</f>
      </c>
      <c r="J11" s="17"/>
      <c r="K11" s="34">
        <v>400</v>
      </c>
      <c r="L11" s="35">
        <v>109559166.05705926</v>
      </c>
      <c r="M11" s="35">
        <v>117573577.17629847</v>
      </c>
      <c r="N11" s="35">
        <v>81963599.12216532</v>
      </c>
    </row>
    <row x14ac:dyDescent="0.25" r="12" customHeight="1" ht="18">
      <c r="A12" s="7"/>
      <c r="B12" s="14">
        <v>45390.395833333336</v>
      </c>
      <c r="C12" s="12">
        <v>1079</v>
      </c>
      <c r="D12" s="12">
        <v>1122</v>
      </c>
      <c r="E12" s="12">
        <v>1022</v>
      </c>
      <c r="F12" s="12">
        <v>466</v>
      </c>
      <c r="G12" s="12">
        <v>484</v>
      </c>
      <c r="H12" s="12">
        <v>417</v>
      </c>
      <c r="I12" s="15">
        <f>AVERAGE(F12:H12)*1000/49350</f>
      </c>
      <c r="J12" s="17"/>
      <c r="K12" s="34">
        <v>400</v>
      </c>
      <c r="L12" s="35">
        <v>46743511.33869788</v>
      </c>
      <c r="M12" s="35">
        <v>48606320.40965618</v>
      </c>
      <c r="N12" s="35">
        <v>44274206.2911485</v>
      </c>
    </row>
  </sheetData>
  <mergeCells count="4">
    <mergeCell ref="A1:N1"/>
    <mergeCell ref="A4:A8"/>
    <mergeCell ref="J4:J12"/>
    <mergeCell ref="A9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7"/>
  <sheetViews>
    <sheetView workbookViewId="0"/>
  </sheetViews>
  <sheetFormatPr defaultRowHeight="15" x14ac:dyDescent="0.25"/>
  <cols>
    <col min="1" max="1" style="19" width="13.005" customWidth="1" bestFit="1"/>
    <col min="2" max="2" style="20" width="18.433571428571426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1" width="13.005" customWidth="1" bestFit="1"/>
    <col min="9" max="9" style="23" width="13.005" customWidth="1" bestFit="1"/>
    <col min="10" max="10" style="24" width="13.005" customWidth="1" bestFit="1"/>
    <col min="11" max="11" style="36" width="13.005" customWidth="1" bestFit="1"/>
    <col min="12" max="12" style="37" width="13.005" customWidth="1" bestFit="1"/>
    <col min="13" max="13" style="37" width="13.005" customWidth="1" bestFit="1"/>
    <col min="14" max="14" style="37" width="13.005" customWidth="1" bestFit="1"/>
    <col min="15" max="15" style="38" width="13.005" customWidth="1" bestFit="1"/>
    <col min="16" max="16" style="38" width="13.005" customWidth="1" bestFit="1"/>
    <col min="17" max="17" style="38" width="13.005" customWidth="1" bestFit="1"/>
    <col min="18" max="18" style="38" width="13.005" customWidth="1" bestFit="1"/>
    <col min="19" max="19" style="38" width="13.005" customWidth="1" bestFit="1"/>
    <col min="20" max="20" style="38" width="13.005" customWidth="1" bestFit="1"/>
    <col min="21" max="21" style="38" width="13.005" customWidth="1" bestFit="1"/>
    <col min="22" max="22" style="38" width="13.005" customWidth="1" bestFit="1"/>
    <col min="23" max="23" style="38" width="13.005" customWidth="1" bestFit="1"/>
    <col min="24" max="24" style="38" width="13.005" customWidth="1" bestFit="1"/>
    <col min="25" max="25" style="38" width="13.005" customWidth="1" bestFit="1"/>
    <col min="26" max="26" style="38" width="13.005" customWidth="1" bestFit="1"/>
    <col min="27" max="27" style="38" width="13.005" customWidth="1" bestFit="1"/>
    <col min="28" max="28" style="38" width="13.005" customWidth="1" bestFit="1"/>
    <col min="29" max="29" style="39" width="13.005" customWidth="1" bestFit="1"/>
  </cols>
  <sheetData>
    <row x14ac:dyDescent="0.25" r="1" customHeight="1" ht="18">
      <c r="A1" s="25" t="s">
        <v>13</v>
      </c>
      <c r="B1" s="26"/>
      <c r="C1" s="25"/>
      <c r="D1" s="25"/>
      <c r="E1" s="25"/>
      <c r="F1" s="25"/>
      <c r="G1" s="25"/>
      <c r="H1" s="25"/>
      <c r="I1" s="27"/>
      <c r="J1" s="28"/>
      <c r="K1" s="26"/>
      <c r="L1" s="29"/>
      <c r="M1" s="29"/>
      <c r="N1" s="29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1"/>
    </row>
    <row x14ac:dyDescent="0.25" r="2" customHeight="1" ht="18">
      <c r="A2" s="5" t="s">
        <v>1</v>
      </c>
      <c r="B2" s="6" t="s">
        <v>2</v>
      </c>
      <c r="C2" s="7" t="s">
        <v>3</v>
      </c>
      <c r="D2" s="7"/>
      <c r="E2" s="7"/>
      <c r="F2" s="7" t="s">
        <v>4</v>
      </c>
      <c r="G2" s="7"/>
      <c r="H2" s="7"/>
      <c r="I2" s="8"/>
      <c r="J2" s="9" t="s">
        <v>5</v>
      </c>
      <c r="K2" s="32" t="s">
        <v>6</v>
      </c>
      <c r="L2" s="33" t="s">
        <v>7</v>
      </c>
      <c r="M2" s="33"/>
      <c r="N2" s="33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1"/>
    </row>
    <row x14ac:dyDescent="0.25" r="3" customHeight="1" ht="18">
      <c r="A3" s="5"/>
      <c r="B3" s="6"/>
      <c r="C3" s="10" t="s">
        <v>8</v>
      </c>
      <c r="D3" s="10" t="s">
        <v>9</v>
      </c>
      <c r="E3" s="10" t="s">
        <v>10</v>
      </c>
      <c r="F3" s="12">
        <v>1</v>
      </c>
      <c r="G3" s="12">
        <v>2</v>
      </c>
      <c r="H3" s="12">
        <v>3</v>
      </c>
      <c r="I3" s="11" t="s">
        <v>11</v>
      </c>
      <c r="J3" s="9"/>
      <c r="K3" s="32"/>
      <c r="L3" s="33" t="s">
        <v>8</v>
      </c>
      <c r="M3" s="33" t="s">
        <v>9</v>
      </c>
      <c r="N3" s="33" t="s">
        <v>10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</row>
    <row x14ac:dyDescent="0.25" r="4" customHeight="1" ht="18">
      <c r="A4" s="13">
        <v>1</v>
      </c>
      <c r="B4" s="14">
        <v>45341.625</v>
      </c>
      <c r="C4" s="12">
        <v>895</v>
      </c>
      <c r="D4" s="12">
        <v>780</v>
      </c>
      <c r="E4" s="12">
        <v>913</v>
      </c>
      <c r="F4" s="12">
        <v>389</v>
      </c>
      <c r="G4" s="12">
        <v>382</v>
      </c>
      <c r="H4" s="12">
        <v>358</v>
      </c>
      <c r="I4" s="15">
        <f>AVERAGE(F4:H4)*1000/47400</f>
      </c>
      <c r="J4" s="16" t="s">
        <v>12</v>
      </c>
      <c r="K4" s="34">
        <v>40</v>
      </c>
      <c r="L4" s="35">
        <v>4509087.688219664</v>
      </c>
      <c r="M4" s="35">
        <v>3929707.705934455</v>
      </c>
      <c r="N4" s="35">
        <v>4599773.250664305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15">
        <v>167999385.51572788</v>
      </c>
    </row>
    <row x14ac:dyDescent="0.25" r="5" customHeight="1" ht="18">
      <c r="A5" s="7"/>
      <c r="B5" s="14">
        <v>45342.395833333336</v>
      </c>
      <c r="C5" s="12">
        <v>2290</v>
      </c>
      <c r="D5" s="12">
        <v>2760</v>
      </c>
      <c r="E5" s="12">
        <v>3117</v>
      </c>
      <c r="F5" s="12">
        <v>389</v>
      </c>
      <c r="G5" s="12">
        <v>382</v>
      </c>
      <c r="H5" s="12">
        <v>358</v>
      </c>
      <c r="I5" s="15">
        <f>AVERAGE(F5:H5)*1000/47400</f>
      </c>
      <c r="J5" s="17"/>
      <c r="K5" s="34">
        <v>40</v>
      </c>
      <c r="L5" s="35">
        <v>11537218.777679363</v>
      </c>
      <c r="M5" s="35">
        <v>13905119.574844996</v>
      </c>
      <c r="N5" s="35">
        <v>15703716.563330382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15">
        <v>179956020.48280907</v>
      </c>
    </row>
    <row x14ac:dyDescent="0.25" r="6" customHeight="1" ht="18">
      <c r="A6" s="7"/>
      <c r="B6" s="14">
        <v>45343.395833333336</v>
      </c>
      <c r="C6" s="12">
        <v>1487</v>
      </c>
      <c r="D6" s="12">
        <v>1907</v>
      </c>
      <c r="E6" s="12">
        <v>1447</v>
      </c>
      <c r="F6" s="12">
        <v>358</v>
      </c>
      <c r="G6" s="12">
        <v>377</v>
      </c>
      <c r="H6" s="12">
        <v>401</v>
      </c>
      <c r="I6" s="15">
        <f>AVERAGE(F6:H6)*1000/47400</f>
      </c>
      <c r="J6" s="17"/>
      <c r="K6" s="34">
        <v>400</v>
      </c>
      <c r="L6" s="35">
        <v>74454718.30985916</v>
      </c>
      <c r="M6" s="35">
        <v>95484295.77464788</v>
      </c>
      <c r="N6" s="35">
        <v>72451901.4084507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15">
        <v>136938127.2860278</v>
      </c>
    </row>
    <row x14ac:dyDescent="0.25" r="7" customHeight="1" ht="18">
      <c r="A7" s="7"/>
      <c r="B7" s="14">
        <v>45344.395833333336</v>
      </c>
      <c r="C7" s="12">
        <v>4332</v>
      </c>
      <c r="D7" s="10"/>
      <c r="E7" s="12">
        <v>4840</v>
      </c>
      <c r="F7" s="12">
        <v>358</v>
      </c>
      <c r="G7" s="12">
        <v>377</v>
      </c>
      <c r="H7" s="12">
        <v>401</v>
      </c>
      <c r="I7" s="15">
        <f>AVERAGE(F7:H7)*1000/47400</f>
      </c>
      <c r="J7" s="17"/>
      <c r="K7" s="34">
        <v>400</v>
      </c>
      <c r="L7" s="35">
        <v>216905070.4225352</v>
      </c>
      <c r="M7" s="35">
        <v>230000000</v>
      </c>
      <c r="N7" s="35">
        <v>242340845.07042253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1"/>
    </row>
    <row x14ac:dyDescent="0.25" r="8" customHeight="1" ht="18">
      <c r="A8" s="7"/>
      <c r="B8" s="14">
        <v>45345.395833333336</v>
      </c>
      <c r="C8" s="12">
        <v>6660</v>
      </c>
      <c r="D8" s="12">
        <v>8052</v>
      </c>
      <c r="E8" s="12">
        <v>5764</v>
      </c>
      <c r="F8" s="12">
        <v>358</v>
      </c>
      <c r="G8" s="12">
        <v>377</v>
      </c>
      <c r="H8" s="12">
        <v>401</v>
      </c>
      <c r="I8" s="15">
        <f>AVERAGE(F8:H8)*1000/47400</f>
      </c>
      <c r="J8" s="17"/>
      <c r="K8" s="34">
        <v>400</v>
      </c>
      <c r="L8" s="35">
        <v>333469014.08450705</v>
      </c>
      <c r="M8" s="35">
        <v>403167042.2535211</v>
      </c>
      <c r="N8" s="35">
        <v>288605915.4929577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1"/>
    </row>
    <row x14ac:dyDescent="0.25" r="9" customHeight="1" ht="18">
      <c r="A9" s="13">
        <v>2</v>
      </c>
      <c r="B9" s="14">
        <v>45350.75</v>
      </c>
      <c r="C9" s="12">
        <v>1463</v>
      </c>
      <c r="D9" s="12">
        <v>1293</v>
      </c>
      <c r="E9" s="12">
        <v>986</v>
      </c>
      <c r="F9" s="12">
        <v>392</v>
      </c>
      <c r="G9" s="12">
        <v>362</v>
      </c>
      <c r="H9" s="12">
        <v>365</v>
      </c>
      <c r="I9" s="15">
        <f>AVERAGE(F9:H9)*1000/47400</f>
      </c>
      <c r="J9" s="17"/>
      <c r="K9" s="34">
        <v>40</v>
      </c>
      <c r="L9" s="35">
        <v>7436589.81233244</v>
      </c>
      <c r="M9" s="35">
        <v>6572461.126005363</v>
      </c>
      <c r="N9" s="35">
        <v>5011946.380697051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1"/>
    </row>
    <row x14ac:dyDescent="0.25" r="10" customHeight="1" ht="18">
      <c r="A10" s="7"/>
      <c r="B10" s="14">
        <v>45351.458333333336</v>
      </c>
      <c r="C10" s="12">
        <v>293</v>
      </c>
      <c r="D10" s="12">
        <v>450</v>
      </c>
      <c r="E10" s="12">
        <v>164</v>
      </c>
      <c r="F10" s="10"/>
      <c r="G10" s="10"/>
      <c r="H10" s="10"/>
      <c r="I10" s="15">
        <v>7.81</v>
      </c>
      <c r="J10" s="17"/>
      <c r="K10" s="34">
        <v>400</v>
      </c>
      <c r="L10" s="35">
        <v>15006402.048655571</v>
      </c>
      <c r="M10" s="35">
        <v>23047375.16005122</v>
      </c>
      <c r="N10" s="35">
        <v>8399487.836107554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1"/>
    </row>
    <row x14ac:dyDescent="0.25" r="11" customHeight="1" ht="18">
      <c r="A11" s="7"/>
      <c r="B11" s="14">
        <v>45352.458333333336</v>
      </c>
      <c r="C11" s="12">
        <v>753</v>
      </c>
      <c r="D11" s="12">
        <v>1463</v>
      </c>
      <c r="E11" s="12">
        <v>767</v>
      </c>
      <c r="F11" s="10"/>
      <c r="G11" s="10"/>
      <c r="H11" s="10"/>
      <c r="I11" s="15">
        <v>7.81</v>
      </c>
      <c r="J11" s="17"/>
      <c r="K11" s="34">
        <v>400</v>
      </c>
      <c r="L11" s="35">
        <v>38565941.10115237</v>
      </c>
      <c r="M11" s="35">
        <v>74929577.46478873</v>
      </c>
      <c r="N11" s="35">
        <v>39282970.55057619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1"/>
    </row>
    <row x14ac:dyDescent="0.25" r="12" customHeight="1" ht="18">
      <c r="A12" s="7"/>
      <c r="B12" s="14">
        <v>45355.458333333336</v>
      </c>
      <c r="C12" s="12">
        <v>2008</v>
      </c>
      <c r="D12" s="12">
        <v>2173</v>
      </c>
      <c r="E12" s="12">
        <v>2213</v>
      </c>
      <c r="F12" s="10"/>
      <c r="G12" s="10"/>
      <c r="H12" s="10"/>
      <c r="I12" s="15">
        <v>7.81</v>
      </c>
      <c r="J12" s="17"/>
      <c r="K12" s="34">
        <v>400</v>
      </c>
      <c r="L12" s="35">
        <v>102842509.60307299</v>
      </c>
      <c r="M12" s="35">
        <v>111293213.8284251</v>
      </c>
      <c r="N12" s="35">
        <v>113341869.39820743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1"/>
    </row>
    <row x14ac:dyDescent="0.25" r="13" customHeight="1" ht="18">
      <c r="A13" s="7"/>
      <c r="B13" s="14">
        <v>45356.458333333336</v>
      </c>
      <c r="C13" s="12">
        <v>2639</v>
      </c>
      <c r="D13" s="12">
        <v>3376</v>
      </c>
      <c r="E13" s="12">
        <v>3684</v>
      </c>
      <c r="F13" s="10"/>
      <c r="G13" s="10"/>
      <c r="H13" s="10"/>
      <c r="I13" s="15">
        <v>7.81</v>
      </c>
      <c r="J13" s="17"/>
      <c r="K13" s="34">
        <v>399.99999999999994</v>
      </c>
      <c r="L13" s="35">
        <v>135160051.21638924</v>
      </c>
      <c r="M13" s="35">
        <v>172906530.0896287</v>
      </c>
      <c r="N13" s="35">
        <v>188681177.97695264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1"/>
    </row>
    <row x14ac:dyDescent="0.25" r="14" customHeight="1" ht="18">
      <c r="A14" s="13">
        <v>3</v>
      </c>
      <c r="B14" s="14">
        <v>45385.729166666664</v>
      </c>
      <c r="C14" s="12">
        <v>185</v>
      </c>
      <c r="D14" s="12">
        <v>176</v>
      </c>
      <c r="E14" s="12">
        <v>199</v>
      </c>
      <c r="F14" s="12">
        <v>466</v>
      </c>
      <c r="G14" s="12">
        <v>484</v>
      </c>
      <c r="H14" s="12">
        <v>417</v>
      </c>
      <c r="I14" s="15">
        <f>AVERAGE(F14:H14)*1000/49350</f>
      </c>
      <c r="J14" s="17"/>
      <c r="K14" s="34">
        <v>200</v>
      </c>
      <c r="L14" s="35">
        <v>4007205.559619605</v>
      </c>
      <c r="M14" s="35">
        <v>3812260.4242867595</v>
      </c>
      <c r="N14" s="35">
        <v>4310453.547915143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1"/>
    </row>
    <row x14ac:dyDescent="0.25" r="15" customHeight="1" ht="18">
      <c r="A15" s="7"/>
      <c r="B15" s="14">
        <v>45386.395833333336</v>
      </c>
      <c r="C15" s="12">
        <v>451</v>
      </c>
      <c r="D15" s="12">
        <v>661</v>
      </c>
      <c r="E15" s="12">
        <v>502</v>
      </c>
      <c r="F15" s="12">
        <v>466</v>
      </c>
      <c r="G15" s="12">
        <v>484</v>
      </c>
      <c r="H15" s="12">
        <v>417</v>
      </c>
      <c r="I15" s="15">
        <f>AVERAGE(F15:H15)*1000/49350</f>
      </c>
      <c r="J15" s="17"/>
      <c r="K15" s="34">
        <v>200</v>
      </c>
      <c r="L15" s="35">
        <v>9768917.337234821</v>
      </c>
      <c r="M15" s="35">
        <v>14317637.161667885</v>
      </c>
      <c r="N15" s="35">
        <v>10873606.43745428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1"/>
    </row>
    <row x14ac:dyDescent="0.25" r="16" customHeight="1" ht="18">
      <c r="A16" s="7"/>
      <c r="B16" s="14">
        <v>45387.395833333336</v>
      </c>
      <c r="C16" s="12">
        <v>1225</v>
      </c>
      <c r="D16" s="12">
        <v>1054</v>
      </c>
      <c r="E16" s="12">
        <v>1297</v>
      </c>
      <c r="F16" s="12">
        <v>466</v>
      </c>
      <c r="G16" s="12">
        <v>484</v>
      </c>
      <c r="H16" s="12">
        <v>417</v>
      </c>
      <c r="I16" s="15">
        <f>AVERAGE(F16:H16)*1000/49350</f>
      </c>
      <c r="J16" s="17"/>
      <c r="K16" s="34">
        <v>399.99999999999994</v>
      </c>
      <c r="L16" s="35">
        <v>53068397.95171909</v>
      </c>
      <c r="M16" s="35">
        <v>45660482.80907096</v>
      </c>
      <c r="N16" s="35">
        <v>56187520.11704463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1"/>
    </row>
    <row x14ac:dyDescent="0.25" r="17" customHeight="1" ht="18">
      <c r="A17" s="7"/>
      <c r="B17" s="14">
        <v>45390.395833333336</v>
      </c>
      <c r="C17" s="12">
        <v>3878</v>
      </c>
      <c r="D17" s="12">
        <v>4154</v>
      </c>
      <c r="E17" s="12">
        <v>3161</v>
      </c>
      <c r="F17" s="12">
        <v>466</v>
      </c>
      <c r="G17" s="12">
        <v>484</v>
      </c>
      <c r="H17" s="12">
        <v>417</v>
      </c>
      <c r="I17" s="15">
        <f>AVERAGE(F17:H17)*1000/49350</f>
      </c>
      <c r="J17" s="17"/>
      <c r="K17" s="34">
        <v>400</v>
      </c>
      <c r="L17" s="35">
        <v>167999385.51572788</v>
      </c>
      <c r="M17" s="35">
        <v>179956020.48280907</v>
      </c>
      <c r="N17" s="35">
        <v>136938127.2860278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1"/>
    </row>
  </sheetData>
  <mergeCells count="5">
    <mergeCell ref="A1:N1"/>
    <mergeCell ref="A4:A8"/>
    <mergeCell ref="J4:J17"/>
    <mergeCell ref="A9:A13"/>
    <mergeCell ref="A14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"/>
  <sheetViews>
    <sheetView workbookViewId="0" tabSelected="1"/>
  </sheetViews>
  <sheetFormatPr defaultRowHeight="15" x14ac:dyDescent="0.25"/>
  <cols>
    <col min="1" max="1" style="19" width="13.005" customWidth="1" bestFit="1"/>
    <col min="2" max="2" style="20" width="14.719285714285713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2" width="13.005" customWidth="1" bestFit="1"/>
    <col min="7" max="7" style="22" width="13.005" customWidth="1" bestFit="1"/>
    <col min="8" max="8" style="22" width="13.005" customWidth="1" bestFit="1"/>
    <col min="9" max="9" style="23" width="13.005" customWidth="1" bestFit="1"/>
    <col min="10" max="10" style="24" width="13.005" customWidth="1" bestFit="1"/>
    <col min="11" max="11" style="21" width="13.005" customWidth="1" bestFit="1"/>
    <col min="12" max="12" style="23" width="13.005" customWidth="1" bestFit="1"/>
    <col min="13" max="13" style="23" width="13.005" customWidth="1" bestFit="1"/>
    <col min="14" max="14" style="23" width="13.005" customWidth="1" bestFit="1"/>
  </cols>
  <sheetData>
    <row x14ac:dyDescent="0.25" r="1" customHeight="1" ht="18">
      <c r="A1" s="1" t="s">
        <v>0</v>
      </c>
      <c r="B1" s="2"/>
      <c r="C1" s="1"/>
      <c r="D1" s="1"/>
      <c r="E1" s="1"/>
      <c r="F1" s="1"/>
      <c r="G1" s="1"/>
      <c r="H1" s="1"/>
      <c r="I1" s="3"/>
      <c r="J1" s="4"/>
      <c r="K1" s="1"/>
      <c r="L1" s="3"/>
      <c r="M1" s="3"/>
      <c r="N1" s="3"/>
    </row>
    <row x14ac:dyDescent="0.25" r="2" customHeight="1" ht="18">
      <c r="A2" s="5" t="s">
        <v>1</v>
      </c>
      <c r="B2" s="6" t="s">
        <v>2</v>
      </c>
      <c r="C2" s="7" t="s">
        <v>3</v>
      </c>
      <c r="D2" s="7"/>
      <c r="E2" s="7"/>
      <c r="F2" s="7" t="s">
        <v>4</v>
      </c>
      <c r="G2" s="7"/>
      <c r="H2" s="7"/>
      <c r="I2" s="8"/>
      <c r="J2" s="9" t="s">
        <v>5</v>
      </c>
      <c r="K2" s="10" t="s">
        <v>6</v>
      </c>
      <c r="L2" s="11" t="s">
        <v>7</v>
      </c>
      <c r="M2" s="11"/>
      <c r="N2" s="11"/>
    </row>
    <row x14ac:dyDescent="0.25" r="3" customHeight="1" ht="18">
      <c r="A3" s="5"/>
      <c r="B3" s="6"/>
      <c r="C3" s="10" t="s">
        <v>8</v>
      </c>
      <c r="D3" s="10" t="s">
        <v>9</v>
      </c>
      <c r="E3" s="10" t="s">
        <v>10</v>
      </c>
      <c r="F3" s="12">
        <v>1</v>
      </c>
      <c r="G3" s="12">
        <v>2</v>
      </c>
      <c r="H3" s="12">
        <v>3</v>
      </c>
      <c r="I3" s="11" t="s">
        <v>11</v>
      </c>
      <c r="J3" s="9"/>
      <c r="K3" s="10"/>
      <c r="L3" s="11" t="s">
        <v>8</v>
      </c>
      <c r="M3" s="11" t="s">
        <v>9</v>
      </c>
      <c r="N3" s="11" t="s">
        <v>10</v>
      </c>
    </row>
    <row x14ac:dyDescent="0.25" r="4" customHeight="1" ht="18">
      <c r="A4" s="13">
        <v>1</v>
      </c>
      <c r="B4" s="14">
        <v>45342.395833333336</v>
      </c>
      <c r="C4" s="12">
        <v>890</v>
      </c>
      <c r="D4" s="12">
        <v>899</v>
      </c>
      <c r="E4" s="12">
        <v>951</v>
      </c>
      <c r="F4" s="12">
        <v>389</v>
      </c>
      <c r="G4" s="12">
        <v>382</v>
      </c>
      <c r="H4" s="12">
        <v>358</v>
      </c>
      <c r="I4" s="15">
        <f>AVERAGE(F4:H4)*1000/47400</f>
      </c>
      <c r="J4" s="16" t="s">
        <v>12</v>
      </c>
      <c r="K4" s="12">
        <v>40</v>
      </c>
      <c r="L4" s="15">
        <v>4483897.254207263</v>
      </c>
      <c r="M4" s="15">
        <v>4529240.035429584</v>
      </c>
      <c r="N4" s="15">
        <v>4791220.549158547</v>
      </c>
    </row>
    <row x14ac:dyDescent="0.25" r="5" customHeight="1" ht="18">
      <c r="A5" s="7"/>
      <c r="B5" s="14">
        <v>45343.395833333336</v>
      </c>
      <c r="C5" s="12">
        <v>915</v>
      </c>
      <c r="D5" s="12">
        <v>823</v>
      </c>
      <c r="E5" s="12">
        <v>957</v>
      </c>
      <c r="F5" s="12">
        <v>389</v>
      </c>
      <c r="G5" s="12">
        <v>382</v>
      </c>
      <c r="H5" s="12">
        <v>358</v>
      </c>
      <c r="I5" s="15">
        <f>AVERAGE(F5:H5)*1000/47400</f>
      </c>
      <c r="J5" s="17"/>
      <c r="K5" s="12">
        <v>40</v>
      </c>
      <c r="L5" s="15">
        <v>4609849.424269265</v>
      </c>
      <c r="M5" s="15">
        <v>4146345.438441098</v>
      </c>
      <c r="N5" s="15">
        <v>4821449.069973428</v>
      </c>
    </row>
    <row x14ac:dyDescent="0.25" r="6" customHeight="1" ht="18">
      <c r="A6" s="7"/>
      <c r="B6" s="14">
        <v>45344.395833333336</v>
      </c>
      <c r="C6" s="12">
        <v>116</v>
      </c>
      <c r="D6" s="12">
        <v>141</v>
      </c>
      <c r="E6" s="12">
        <v>135</v>
      </c>
      <c r="F6" s="12">
        <v>358</v>
      </c>
      <c r="G6" s="12">
        <v>377</v>
      </c>
      <c r="H6" s="12">
        <v>401</v>
      </c>
      <c r="I6" s="15">
        <f>AVERAGE(F6:H6)*1000/47400</f>
      </c>
      <c r="J6" s="17"/>
      <c r="K6" s="12">
        <v>400</v>
      </c>
      <c r="L6" s="15">
        <v>5808169.014084507</v>
      </c>
      <c r="M6" s="15">
        <v>7059929.577464788</v>
      </c>
      <c r="N6" s="15">
        <v>6759507.04225352</v>
      </c>
    </row>
    <row x14ac:dyDescent="0.25" r="7" customHeight="1" ht="18">
      <c r="A7" s="7"/>
      <c r="B7" s="14">
        <v>45345.395833333336</v>
      </c>
      <c r="C7" s="12">
        <v>127</v>
      </c>
      <c r="D7" s="12">
        <v>121</v>
      </c>
      <c r="E7" s="12">
        <v>144</v>
      </c>
      <c r="F7" s="12">
        <v>358</v>
      </c>
      <c r="G7" s="12">
        <v>377</v>
      </c>
      <c r="H7" s="12">
        <v>401</v>
      </c>
      <c r="I7" s="15">
        <f>AVERAGE(F7:H7)*1000/47400</f>
      </c>
      <c r="J7" s="17"/>
      <c r="K7" s="12">
        <v>400</v>
      </c>
      <c r="L7" s="15">
        <v>6358943.661971831</v>
      </c>
      <c r="M7" s="15">
        <v>6058521.126760563</v>
      </c>
      <c r="N7" s="15">
        <v>7210140.845070422</v>
      </c>
    </row>
    <row x14ac:dyDescent="0.25" r="8" customHeight="1" ht="18">
      <c r="A8" s="7"/>
      <c r="B8" s="14">
        <v>45348.395833333336</v>
      </c>
      <c r="C8" s="12">
        <v>174</v>
      </c>
      <c r="D8" s="12">
        <v>170</v>
      </c>
      <c r="E8" s="12">
        <v>137</v>
      </c>
      <c r="F8" s="12">
        <v>358</v>
      </c>
      <c r="G8" s="12">
        <v>377</v>
      </c>
      <c r="H8" s="12">
        <v>401</v>
      </c>
      <c r="I8" s="15">
        <f>AVERAGE(F8:H8)*1000/47400</f>
      </c>
      <c r="J8" s="17"/>
      <c r="K8" s="12">
        <v>400</v>
      </c>
      <c r="L8" s="15">
        <v>8712253.52112676</v>
      </c>
      <c r="M8" s="15">
        <v>8511971.830985915</v>
      </c>
      <c r="N8" s="15">
        <v>6859647.887323943</v>
      </c>
    </row>
    <row x14ac:dyDescent="0.25" r="9" customHeight="1" ht="18">
      <c r="A9" s="7"/>
      <c r="B9" s="14">
        <v>45348.666666666664</v>
      </c>
      <c r="C9" s="12">
        <v>822</v>
      </c>
      <c r="D9" s="12">
        <v>746</v>
      </c>
      <c r="E9" s="12">
        <v>999</v>
      </c>
      <c r="F9" s="12">
        <v>392</v>
      </c>
      <c r="G9" s="12">
        <v>362</v>
      </c>
      <c r="H9" s="12">
        <v>365</v>
      </c>
      <c r="I9" s="15">
        <f>AVERAGE(F9:H9)*1000/47400</f>
      </c>
      <c r="J9" s="17"/>
      <c r="K9" s="12">
        <v>40</v>
      </c>
      <c r="L9" s="15">
        <v>4141307.3516386184</v>
      </c>
      <c r="M9" s="15">
        <v>3758412.754650133</v>
      </c>
      <c r="N9" s="15">
        <v>5033048.715677591</v>
      </c>
    </row>
    <row x14ac:dyDescent="0.25" r="10" customHeight="1" ht="18">
      <c r="A10" s="13">
        <v>2</v>
      </c>
      <c r="B10" s="14">
        <v>45350.75</v>
      </c>
      <c r="C10" s="12">
        <v>211</v>
      </c>
      <c r="D10" s="12">
        <v>155</v>
      </c>
      <c r="E10" s="12">
        <v>173</v>
      </c>
      <c r="F10" s="12">
        <v>392</v>
      </c>
      <c r="G10" s="12">
        <v>362</v>
      </c>
      <c r="H10" s="12">
        <v>365</v>
      </c>
      <c r="I10" s="15">
        <f>AVERAGE(F10:H10)*1000/47400</f>
      </c>
      <c r="J10" s="17"/>
      <c r="K10" s="12">
        <v>40</v>
      </c>
      <c r="L10" s="15">
        <v>1072536.1930294908</v>
      </c>
      <c r="M10" s="15">
        <v>787882.0375335121</v>
      </c>
      <c r="N10" s="15">
        <v>879378.0160857909</v>
      </c>
    </row>
    <row x14ac:dyDescent="0.25" r="11" customHeight="1" ht="18">
      <c r="A11" s="7"/>
      <c r="B11" s="14">
        <v>45351.458333333336</v>
      </c>
      <c r="C11" s="12">
        <v>48</v>
      </c>
      <c r="D11" s="12">
        <v>56</v>
      </c>
      <c r="E11" s="12">
        <v>91</v>
      </c>
      <c r="F11" s="18"/>
      <c r="G11" s="18"/>
      <c r="H11" s="18"/>
      <c r="I11" s="15">
        <v>7.81</v>
      </c>
      <c r="J11" s="17"/>
      <c r="K11" s="12">
        <v>40</v>
      </c>
      <c r="L11" s="15">
        <v>245838.66837387966</v>
      </c>
      <c r="M11" s="15">
        <v>286811.77976952627</v>
      </c>
      <c r="N11" s="15">
        <v>466069.14212548017</v>
      </c>
    </row>
    <row x14ac:dyDescent="0.25" r="12" customHeight="1" ht="18">
      <c r="A12" s="7"/>
      <c r="B12" s="14">
        <v>45352.458333333336</v>
      </c>
      <c r="C12" s="12">
        <v>69</v>
      </c>
      <c r="D12" s="12">
        <v>47</v>
      </c>
      <c r="E12" s="12">
        <v>33</v>
      </c>
      <c r="F12" s="18"/>
      <c r="G12" s="18"/>
      <c r="H12" s="18"/>
      <c r="I12" s="15">
        <v>7.81</v>
      </c>
      <c r="J12" s="17"/>
      <c r="K12" s="12">
        <v>40</v>
      </c>
      <c r="L12" s="15">
        <v>353393.085787452</v>
      </c>
      <c r="M12" s="15">
        <v>240717.02944942383</v>
      </c>
      <c r="N12" s="15">
        <v>169014.08450704225</v>
      </c>
    </row>
    <row x14ac:dyDescent="0.25" r="13" customHeight="1" ht="18">
      <c r="A13" s="7"/>
      <c r="B13" s="14">
        <v>45355.458333333336</v>
      </c>
      <c r="C13" s="12">
        <v>70</v>
      </c>
      <c r="D13" s="12">
        <v>46</v>
      </c>
      <c r="E13" s="12">
        <v>62</v>
      </c>
      <c r="F13" s="18"/>
      <c r="G13" s="18"/>
      <c r="H13" s="18"/>
      <c r="I13" s="15">
        <v>7.81</v>
      </c>
      <c r="J13" s="17"/>
      <c r="K13" s="12">
        <v>40</v>
      </c>
      <c r="L13" s="15">
        <v>358514.72471190785</v>
      </c>
      <c r="M13" s="15">
        <v>235595.390524968</v>
      </c>
      <c r="N13" s="15">
        <v>317541.6133162612</v>
      </c>
    </row>
    <row x14ac:dyDescent="0.25" r="14" customHeight="1" ht="18">
      <c r="A14" s="7"/>
      <c r="B14" s="14">
        <v>45356.458333333336</v>
      </c>
      <c r="C14" s="12">
        <v>91</v>
      </c>
      <c r="D14" s="12">
        <v>91</v>
      </c>
      <c r="E14" s="12">
        <v>90</v>
      </c>
      <c r="F14" s="18"/>
      <c r="G14" s="18"/>
      <c r="H14" s="18"/>
      <c r="I14" s="15">
        <v>7.81</v>
      </c>
      <c r="J14" s="17"/>
      <c r="K14" s="12">
        <v>40</v>
      </c>
      <c r="L14" s="15">
        <v>466069.14212548017</v>
      </c>
      <c r="M14" s="15">
        <v>466069.14212548017</v>
      </c>
      <c r="N14" s="15">
        <v>460947.5032010244</v>
      </c>
    </row>
  </sheetData>
  <mergeCells count="4">
    <mergeCell ref="A1:N1"/>
    <mergeCell ref="A4:A9"/>
    <mergeCell ref="J4:J14"/>
    <mergeCell ref="A10:A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Coevo 15</vt:lpstr>
      <vt:lpstr>Coevo 20</vt:lpstr>
      <vt:lpstr>Coevo 26</vt:lpstr>
      <vt:lpstr>Virus 15</vt:lpstr>
      <vt:lpstr>Virus 20</vt:lpstr>
      <vt:lpstr>Virus 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2026-01-29T08:28:15.017Z</dcterms:created>
  <dcterms:modified xsi:type="dcterms:W3CDTF">2026-01-29T08:28:15.017Z</dcterms:modified>
</cp:coreProperties>
</file>