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Host 15"/>
    <sheet r:id="rId2" sheetId="2" name="Host 20"/>
    <sheet r:id="rId3" sheetId="3" name="host 26"/>
    <sheet r:id="rId4" sheetId="4" name="Coevo 15"/>
    <sheet r:id="rId5" sheetId="5" name="Coevo 20"/>
    <sheet r:id="rId6" sheetId="6" name="Coevo 26"/>
    <sheet r:id="rId7" sheetId="7" name="Virus 15"/>
    <sheet r:id="rId8" sheetId="8" name="Virus 20"/>
    <sheet r:id="rId9" sheetId="9" name="Virus 26"/>
  </sheets>
  <calcPr fullCalcOnLoad="1"/>
</workbook>
</file>

<file path=xl/sharedStrings.xml><?xml version="1.0" encoding="utf-8"?>
<sst xmlns="http://schemas.openxmlformats.org/spreadsheetml/2006/main" count="773" uniqueCount="112">
  <si>
    <t>Coevo 26°C</t>
  </si>
  <si>
    <t>Cycle</t>
  </si>
  <si>
    <t>Date</t>
  </si>
  <si>
    <t>Données brut</t>
  </si>
  <si>
    <t>True count</t>
  </si>
  <si>
    <t>Flow rate</t>
  </si>
  <si>
    <t>Dilution</t>
  </si>
  <si>
    <t>Concentration (cells/ml)</t>
  </si>
  <si>
    <t>A</t>
  </si>
  <si>
    <t>B</t>
  </si>
  <si>
    <t>C</t>
  </si>
  <si>
    <t>Debit reel</t>
  </si>
  <si>
    <t>Fast</t>
  </si>
  <si>
    <t>Medium</t>
  </si>
  <si>
    <t>cahier labo</t>
  </si>
  <si>
    <t>Evo 20°C</t>
  </si>
  <si>
    <t>Evo virale 15°C</t>
  </si>
  <si>
    <t xml:space="preserve">Cycle </t>
  </si>
  <si>
    <t xml:space="preserve">Plate </t>
  </si>
  <si>
    <t>Well</t>
  </si>
  <si>
    <t>C4</t>
  </si>
  <si>
    <t>C5</t>
  </si>
  <si>
    <t>C6</t>
  </si>
  <si>
    <t>F1</t>
  </si>
  <si>
    <t>F2</t>
  </si>
  <si>
    <t>F3</t>
  </si>
  <si>
    <t>H4</t>
  </si>
  <si>
    <t>H5</t>
  </si>
  <si>
    <t>H6</t>
  </si>
  <si>
    <t>B4</t>
  </si>
  <si>
    <t>B5</t>
  </si>
  <si>
    <t>B6</t>
  </si>
  <si>
    <t>F4</t>
  </si>
  <si>
    <t>F5</t>
  </si>
  <si>
    <t>F6</t>
  </si>
  <si>
    <t>D7</t>
  </si>
  <si>
    <t>D8</t>
  </si>
  <si>
    <t>D9</t>
  </si>
  <si>
    <t>E7</t>
  </si>
  <si>
    <t>E8</t>
  </si>
  <si>
    <t>E9</t>
  </si>
  <si>
    <t>D4</t>
  </si>
  <si>
    <t>D5</t>
  </si>
  <si>
    <t>D6</t>
  </si>
  <si>
    <t>C10</t>
  </si>
  <si>
    <t>C11</t>
  </si>
  <si>
    <t>C12</t>
  </si>
  <si>
    <t>G10</t>
  </si>
  <si>
    <t>G11</t>
  </si>
  <si>
    <t>G12</t>
  </si>
  <si>
    <t>A1</t>
  </si>
  <si>
    <t>A2</t>
  </si>
  <si>
    <t>A3</t>
  </si>
  <si>
    <t>Slow</t>
  </si>
  <si>
    <t>Coevo 20°C</t>
  </si>
  <si>
    <t>E4</t>
  </si>
  <si>
    <t>E5</t>
  </si>
  <si>
    <t>E6</t>
  </si>
  <si>
    <t>G4</t>
  </si>
  <si>
    <t>G5</t>
  </si>
  <si>
    <t>G6</t>
  </si>
  <si>
    <t>A10</t>
  </si>
  <si>
    <t>A11</t>
  </si>
  <si>
    <t>A12</t>
  </si>
  <si>
    <t>E10</t>
  </si>
  <si>
    <t>E11</t>
  </si>
  <si>
    <t>E12</t>
  </si>
  <si>
    <t>C7</t>
  </si>
  <si>
    <t>C8</t>
  </si>
  <si>
    <t>C9</t>
  </si>
  <si>
    <t>Coéevo 15°C</t>
  </si>
  <si>
    <t>A4</t>
  </si>
  <si>
    <t>A5</t>
  </si>
  <si>
    <t>A6</t>
  </si>
  <si>
    <t>Custom (120)</t>
  </si>
  <si>
    <t>A7</t>
  </si>
  <si>
    <t>A8</t>
  </si>
  <si>
    <t>A9</t>
  </si>
  <si>
    <t>Hôte seul 26°C</t>
  </si>
  <si>
    <t>C1</t>
  </si>
  <si>
    <t>C2</t>
  </si>
  <si>
    <t>C3</t>
  </si>
  <si>
    <t>H1</t>
  </si>
  <si>
    <t>H2</t>
  </si>
  <si>
    <t>H3</t>
  </si>
  <si>
    <t>B1</t>
  </si>
  <si>
    <t>B2</t>
  </si>
  <si>
    <t>B3</t>
  </si>
  <si>
    <t>D1</t>
  </si>
  <si>
    <t>D2</t>
  </si>
  <si>
    <t>D3</t>
  </si>
  <si>
    <t>G7</t>
  </si>
  <si>
    <t>G8</t>
  </si>
  <si>
    <t>G9</t>
  </si>
  <si>
    <t>B10</t>
  </si>
  <si>
    <t>effacé</t>
  </si>
  <si>
    <t>Hôte seul 20°C</t>
  </si>
  <si>
    <t>E1</t>
  </si>
  <si>
    <t>E2</t>
  </si>
  <si>
    <t>E3</t>
  </si>
  <si>
    <t>G1</t>
  </si>
  <si>
    <t>G2</t>
  </si>
  <si>
    <t>G3</t>
  </si>
  <si>
    <t>Hôte seul 15°C</t>
  </si>
  <si>
    <t xml:space="preserve">Debit reel </t>
  </si>
  <si>
    <t>B7</t>
  </si>
  <si>
    <t>B8</t>
  </si>
  <si>
    <t>B9</t>
  </si>
  <si>
    <t>F7</t>
  </si>
  <si>
    <t>F8</t>
  </si>
  <si>
    <t>F9</t>
  </si>
  <si>
    <t xml:space="preserve">Amandin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</si>
</sst>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0"/>
    <numFmt numFmtId="165" formatCode="d/m/yy h:m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be3d6"/>
      </patternFill>
    </fill>
    <fill>
      <patternFill patternType="solid">
        <fgColor rgb="FFd9f2d0"/>
      </patternFill>
    </fill>
    <fill>
      <patternFill patternType="solid">
        <fgColor rgb="FFcaeefb"/>
      </patternFill>
    </fill>
    <fill>
      <patternFill patternType="solid">
        <fgColor rgb="FFb8d4f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1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center" vertical="top"/>
    </xf>
    <xf xfId="0" numFmtId="165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14" applyNumberFormat="1" borderId="2" applyBorder="1" fontId="1" applyFont="1" fillId="0" applyAlignment="1">
      <alignment horizontal="left"/>
    </xf>
    <xf xfId="0" numFmtId="22" applyNumberFormat="1" borderId="2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1" applyBorder="1" fontId="1" applyFont="1" fillId="3" applyFill="1" applyAlignment="1">
      <alignment horizontal="center"/>
    </xf>
    <xf xfId="0" numFmtId="1" applyNumberFormat="1" borderId="1" applyBorder="1" fontId="1" applyFont="1" fillId="3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164" applyNumberFormat="1" borderId="1" applyBorder="1" fontId="1" applyFont="1" fillId="3" applyFill="1" applyAlignment="1">
      <alignment horizontal="center"/>
    </xf>
    <xf xfId="0" numFmtId="1" applyNumberFormat="1" borderId="2" applyBorder="1" fontId="1" applyFont="1" fillId="0" applyAlignment="1">
      <alignment horizontal="right"/>
    </xf>
    <xf xfId="0" numFmtId="3" applyNumberFormat="1" borderId="1" applyBorder="1" fontId="1" applyFont="1" fillId="4" applyFill="1" applyAlignment="1">
      <alignment horizontal="center"/>
    </xf>
    <xf xfId="0" numFmtId="1" applyNumberFormat="1" borderId="1" applyBorder="1" fontId="1" applyFont="1" fillId="4" applyFill="1" applyAlignment="1">
      <alignment horizontal="center"/>
    </xf>
    <xf xfId="0" numFmtId="4" applyNumberFormat="1" borderId="1" applyBorder="1" fontId="1" applyFont="1" fillId="4" applyFill="1" applyAlignment="1">
      <alignment horizontal="center"/>
    </xf>
    <xf xfId="0" numFmtId="0" borderId="1" applyBorder="1" fontId="1" applyFont="1" fillId="4" applyFill="1" applyAlignment="1">
      <alignment horizontal="center"/>
    </xf>
    <xf xfId="0" numFmtId="164" applyNumberFormat="1" borderId="1" applyBorder="1" fontId="1" applyFont="1" fillId="4" applyFill="1" applyAlignment="1">
      <alignment horizontal="center"/>
    </xf>
    <xf xfId="0" numFmtId="0" borderId="2" applyBorder="1" fontId="2" applyFont="1" fillId="0" applyAlignment="1">
      <alignment horizontal="left"/>
    </xf>
    <xf xfId="0" numFmtId="1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1" applyBorder="1" fontId="1" applyFont="1" fillId="5" applyFill="1" applyAlignment="1">
      <alignment horizontal="left"/>
    </xf>
    <xf xfId="0" numFmtId="4" applyNumberFormat="1" borderId="1" applyBorder="1" fontId="1" applyFont="1" fillId="5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I56"/>
  <sheetViews>
    <sheetView workbookViewId="0"/>
  </sheetViews>
  <sheetFormatPr defaultRowHeight="15" x14ac:dyDescent="0.25"/>
  <cols>
    <col min="1" max="1" style="21" width="13.576428571428572" customWidth="1" bestFit="1"/>
    <col min="2" max="2" style="42" width="13.005" customWidth="1" bestFit="1"/>
    <col min="3" max="3" style="42" width="13.005" customWidth="1" bestFit="1"/>
    <col min="4" max="4" style="42" width="13.005" customWidth="1" bestFit="1"/>
    <col min="5" max="5" style="42" width="13.005" customWidth="1" bestFit="1"/>
    <col min="6" max="6" style="42" width="13.005" customWidth="1" bestFit="1"/>
    <col min="7" max="7" style="42" width="13.005" customWidth="1" bestFit="1"/>
    <col min="8" max="8" style="43" width="13.005" customWidth="1" bestFit="1"/>
    <col min="9" max="9" style="23" width="13.005" customWidth="1" bestFit="1"/>
    <col min="10" max="10" style="42" width="15.719285714285713" customWidth="1" bestFit="1"/>
    <col min="11" max="11" style="45" width="13.005" customWidth="1" bestFit="1"/>
    <col min="12" max="12" style="45" width="13.005" customWidth="1" bestFit="1"/>
    <col min="13" max="13" style="45" width="13.005" customWidth="1" bestFit="1"/>
    <col min="14" max="14" style="20" width="13.005" customWidth="1" bestFit="1"/>
    <col min="15" max="15" style="23" width="13.005" customWidth="1" bestFit="1"/>
    <col min="16" max="16" style="23" width="13.005" customWidth="1" bestFit="1"/>
    <col min="17" max="17" style="23" width="13.005" customWidth="1" bestFit="1"/>
    <col min="18" max="18" style="23" width="13.005" customWidth="1" bestFit="1"/>
    <col min="19" max="19" style="23" width="13.005" customWidth="1" bestFit="1"/>
    <col min="20" max="20" style="23" width="13.005" customWidth="1" bestFit="1"/>
    <col min="21" max="21" style="23" width="13.005" customWidth="1" bestFit="1"/>
    <col min="22" max="22" style="23" width="13.005" customWidth="1" bestFit="1"/>
    <col min="23" max="23" style="23" width="13.005" customWidth="1" bestFit="1"/>
    <col min="24" max="24" style="23" width="13.005" customWidth="1" bestFit="1"/>
    <col min="25" max="25" style="23" width="13.005" customWidth="1" bestFit="1"/>
    <col min="26" max="26" style="23" width="13.005" customWidth="1" bestFit="1"/>
    <col min="27" max="27" style="23" width="13.005" customWidth="1" bestFit="1"/>
    <col min="28" max="28" style="23" width="13.005" customWidth="1" bestFit="1"/>
    <col min="29" max="29" style="23" width="13.005" customWidth="1" bestFit="1"/>
    <col min="30" max="30" style="23" width="13.005" customWidth="1" bestFit="1"/>
    <col min="31" max="31" style="23" width="13.005" customWidth="1" bestFit="1"/>
    <col min="32" max="32" style="23" width="13.005" customWidth="1" bestFit="1"/>
    <col min="33" max="33" style="23" width="13.005" customWidth="1" bestFit="1"/>
    <col min="34" max="34" style="23" width="13.005" customWidth="1" bestFit="1"/>
    <col min="35" max="35" style="23" width="13.005" customWidth="1" bestFit="1"/>
    <col min="36" max="36" style="23" width="13.005" customWidth="1" bestFit="1"/>
    <col min="37" max="37" style="23" width="13.005" customWidth="1" bestFit="1"/>
    <col min="38" max="38" style="23" width="13.005" customWidth="1" bestFit="1"/>
    <col min="39" max="39" style="23" width="13.005" customWidth="1" bestFit="1"/>
    <col min="40" max="40" style="23" width="13.005" customWidth="1" bestFit="1"/>
    <col min="41" max="41" style="23" width="13.005" customWidth="1" bestFit="1"/>
    <col min="42" max="42" style="23" width="13.005" customWidth="1" bestFit="1"/>
    <col min="43" max="43" style="23" width="13.005" customWidth="1" bestFit="1"/>
    <col min="44" max="44" style="23" width="13.005" customWidth="1" bestFit="1"/>
    <col min="45" max="45" style="23" width="13.005" customWidth="1" bestFit="1"/>
    <col min="46" max="46" style="23" width="13.005" customWidth="1" bestFit="1"/>
    <col min="47" max="47" style="23" width="13.005" customWidth="1" bestFit="1"/>
    <col min="48" max="48" style="23" width="13.005" customWidth="1" bestFit="1"/>
    <col min="49" max="49" style="23" width="13.005" customWidth="1" bestFit="1"/>
    <col min="50" max="50" style="23" width="13.005" customWidth="1" bestFit="1"/>
    <col min="51" max="51" style="23" width="13.005" customWidth="1" bestFit="1"/>
    <col min="52" max="52" style="23" width="13.005" customWidth="1" bestFit="1"/>
    <col min="53" max="53" style="23" width="13.005" customWidth="1" bestFit="1"/>
    <col min="54" max="54" style="23" width="13.005" customWidth="1" bestFit="1"/>
    <col min="55" max="55" style="23" width="13.005" customWidth="1" bestFit="1"/>
    <col min="56" max="56" style="23" width="13.005" customWidth="1" bestFit="1"/>
    <col min="57" max="57" style="23" width="13.005" customWidth="1" bestFit="1"/>
    <col min="58" max="58" style="23" width="13.005" customWidth="1" bestFit="1"/>
    <col min="59" max="59" style="23" width="13.005" customWidth="1" bestFit="1"/>
    <col min="60" max="60" style="23" width="13.005" customWidth="1" bestFit="1"/>
    <col min="61" max="61" style="23" width="13.005" customWidth="1" bestFit="1"/>
    <col min="62" max="62" style="23" width="13.005" customWidth="1" bestFit="1"/>
    <col min="63" max="63" style="23" width="13.005" customWidth="1" bestFit="1"/>
    <col min="64" max="64" style="23" width="13.005" customWidth="1" bestFit="1"/>
    <col min="65" max="65" style="23" width="13.005" customWidth="1" bestFit="1"/>
    <col min="66" max="66" style="23" width="13.005" customWidth="1" bestFit="1"/>
    <col min="67" max="67" style="23" width="13.005" customWidth="1" bestFit="1"/>
    <col min="68" max="68" style="23" width="13.005" customWidth="1" bestFit="1"/>
    <col min="69" max="69" style="23" width="13.005" customWidth="1" bestFit="1"/>
    <col min="70" max="70" style="23" width="13.005" customWidth="1" bestFit="1"/>
    <col min="71" max="71" style="23" width="13.005" customWidth="1" bestFit="1"/>
    <col min="72" max="72" style="23" width="13.005" customWidth="1" bestFit="1"/>
    <col min="73" max="73" style="23" width="13.005" customWidth="1" bestFit="1"/>
    <col min="74" max="74" style="23" width="13.005" customWidth="1" bestFit="1"/>
    <col min="75" max="75" style="23" width="13.005" customWidth="1" bestFit="1"/>
    <col min="76" max="76" style="23" width="13.005" customWidth="1" bestFit="1"/>
    <col min="77" max="77" style="23" width="13.005" customWidth="1" bestFit="1"/>
    <col min="78" max="78" style="23" width="13.005" customWidth="1" bestFit="1"/>
    <col min="79" max="79" style="23" width="13.005" customWidth="1" bestFit="1"/>
    <col min="80" max="80" style="23" width="13.005" customWidth="1" bestFit="1"/>
    <col min="81" max="81" style="23" width="13.005" customWidth="1" bestFit="1"/>
    <col min="82" max="82" style="23" width="13.005" customWidth="1" bestFit="1"/>
    <col min="83" max="83" style="23" width="13.005" customWidth="1" bestFit="1"/>
    <col min="84" max="84" style="23" width="13.005" customWidth="1" bestFit="1"/>
    <col min="85" max="85" style="23" width="13.005" customWidth="1" bestFit="1"/>
    <col min="86" max="86" style="23" width="13.005" customWidth="1" bestFit="1"/>
    <col min="87" max="87" style="23" width="13.005" customWidth="1" bestFit="1"/>
    <col min="88" max="88" style="23" width="13.005" customWidth="1" bestFit="1"/>
    <col min="89" max="89" style="23" width="13.005" customWidth="1" bestFit="1"/>
    <col min="90" max="90" style="23" width="13.005" customWidth="1" bestFit="1"/>
    <col min="91" max="91" style="23" width="13.005" customWidth="1" bestFit="1"/>
    <col min="92" max="92" style="23" width="13.005" customWidth="1" bestFit="1"/>
    <col min="93" max="93" style="23" width="13.005" customWidth="1" bestFit="1"/>
    <col min="94" max="94" style="23" width="13.005" customWidth="1" bestFit="1"/>
    <col min="95" max="95" style="23" width="13.005" customWidth="1" bestFit="1"/>
    <col min="96" max="96" style="23" width="13.005" customWidth="1" bestFit="1"/>
    <col min="97" max="97" style="23" width="13.005" customWidth="1" bestFit="1"/>
    <col min="98" max="98" style="23" width="13.005" customWidth="1" bestFit="1"/>
    <col min="99" max="99" style="23" width="13.005" customWidth="1" bestFit="1"/>
    <col min="100" max="100" style="23" width="13.005" customWidth="1" bestFit="1"/>
    <col min="101" max="101" style="23" width="13.005" customWidth="1" bestFit="1"/>
    <col min="102" max="102" style="23" width="13.005" customWidth="1" bestFit="1"/>
    <col min="103" max="103" style="23" width="13.005" customWidth="1" bestFit="1"/>
    <col min="104" max="104" style="23" width="13.005" customWidth="1" bestFit="1"/>
    <col min="105" max="105" style="23" width="13.005" customWidth="1" bestFit="1"/>
    <col min="106" max="106" style="23" width="13.005" customWidth="1" bestFit="1"/>
    <col min="107" max="107" style="23" width="13.005" customWidth="1" bestFit="1"/>
    <col min="108" max="108" style="23" width="13.005" customWidth="1" bestFit="1"/>
    <col min="109" max="109" style="23" width="13.005" customWidth="1" bestFit="1"/>
    <col min="110" max="110" style="23" width="13.005" customWidth="1" bestFit="1"/>
    <col min="111" max="111" style="23" width="13.005" customWidth="1" bestFit="1"/>
    <col min="112" max="112" style="23" width="13.005" customWidth="1" bestFit="1"/>
    <col min="113" max="113" style="23" width="13.005" customWidth="1" bestFit="1"/>
    <col min="114" max="114" style="23" width="13.005" customWidth="1" bestFit="1"/>
    <col min="115" max="115" style="23" width="13.005" customWidth="1" bestFit="1"/>
    <col min="116" max="116" style="23" width="13.005" customWidth="1" bestFit="1"/>
    <col min="117" max="117" style="23" width="13.005" customWidth="1" bestFit="1"/>
    <col min="118" max="118" style="23" width="13.005" customWidth="1" bestFit="1"/>
    <col min="119" max="119" style="23" width="13.005" customWidth="1" bestFit="1"/>
    <col min="120" max="120" style="23" width="13.005" customWidth="1" bestFit="1"/>
    <col min="121" max="121" style="23" width="13.005" customWidth="1" bestFit="1"/>
    <col min="122" max="122" style="23" width="13.005" customWidth="1" bestFit="1"/>
    <col min="123" max="123" style="23" width="13.005" customWidth="1" bestFit="1"/>
    <col min="124" max="124" style="23" width="13.005" customWidth="1" bestFit="1"/>
    <col min="125" max="125" style="23" width="13.005" customWidth="1" bestFit="1"/>
    <col min="126" max="126" style="23" width="13.005" customWidth="1" bestFit="1"/>
    <col min="127" max="127" style="23" width="13.005" customWidth="1" bestFit="1"/>
    <col min="128" max="128" style="23" width="13.005" customWidth="1" bestFit="1"/>
    <col min="129" max="129" style="23" width="13.005" customWidth="1" bestFit="1"/>
    <col min="130" max="130" style="23" width="13.005" customWidth="1" bestFit="1"/>
    <col min="131" max="131" style="23" width="13.005" customWidth="1" bestFit="1"/>
    <col min="132" max="132" style="23" width="13.005" customWidth="1" bestFit="1"/>
    <col min="133" max="133" style="23" width="13.005" customWidth="1" bestFit="1"/>
    <col min="134" max="134" style="23" width="13.005" customWidth="1" bestFit="1"/>
    <col min="135" max="135" style="23" width="13.005" customWidth="1" bestFit="1"/>
    <col min="136" max="136" style="23" width="13.005" customWidth="1" bestFit="1"/>
    <col min="137" max="137" style="23" width="13.005" customWidth="1" bestFit="1"/>
    <col min="138" max="138" style="20" width="13.005" customWidth="1" bestFit="1"/>
    <col min="139" max="139" style="22" width="13.005" customWidth="1" bestFit="1"/>
  </cols>
  <sheetData>
    <row x14ac:dyDescent="0.25" r="1" customHeight="1" ht="18">
      <c r="A1" s="32" t="s">
        <v>103</v>
      </c>
      <c r="B1" s="31"/>
      <c r="C1" s="31"/>
      <c r="D1" s="31"/>
      <c r="E1" s="31"/>
      <c r="F1" s="31"/>
      <c r="G1" s="31"/>
      <c r="H1" s="33"/>
      <c r="I1" s="34"/>
      <c r="J1" s="31"/>
      <c r="K1" s="35"/>
      <c r="L1" s="35"/>
      <c r="M1" s="35"/>
      <c r="N1" s="7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7"/>
      <c r="EI1" s="13"/>
    </row>
    <row x14ac:dyDescent="0.25" r="2" customHeight="1" ht="18">
      <c r="A2" s="8" t="s">
        <v>2</v>
      </c>
      <c r="B2" s="9" t="s">
        <v>3</v>
      </c>
      <c r="C2" s="9"/>
      <c r="D2" s="9"/>
      <c r="E2" s="9" t="s">
        <v>4</v>
      </c>
      <c r="F2" s="9"/>
      <c r="G2" s="9"/>
      <c r="H2" s="10"/>
      <c r="I2" s="6" t="s">
        <v>5</v>
      </c>
      <c r="J2" s="39" t="s">
        <v>6</v>
      </c>
      <c r="K2" s="38" t="s">
        <v>7</v>
      </c>
      <c r="L2" s="38"/>
      <c r="M2" s="38"/>
      <c r="N2" s="7" t="s">
        <v>18</v>
      </c>
      <c r="O2" s="6" t="s">
        <v>19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7"/>
      <c r="EI2" s="13"/>
    </row>
    <row x14ac:dyDescent="0.25" r="3" customHeight="1" ht="18">
      <c r="A3" s="8"/>
      <c r="B3" s="39" t="s">
        <v>8</v>
      </c>
      <c r="C3" s="39" t="s">
        <v>9</v>
      </c>
      <c r="D3" s="39" t="s">
        <v>10</v>
      </c>
      <c r="E3" s="12">
        <v>1</v>
      </c>
      <c r="F3" s="12">
        <v>2</v>
      </c>
      <c r="G3" s="12">
        <v>3</v>
      </c>
      <c r="H3" s="40" t="s">
        <v>104</v>
      </c>
      <c r="I3" s="6"/>
      <c r="J3" s="39"/>
      <c r="K3" s="38" t="s">
        <v>8</v>
      </c>
      <c r="L3" s="38" t="s">
        <v>9</v>
      </c>
      <c r="M3" s="38" t="s">
        <v>10</v>
      </c>
      <c r="N3" s="7"/>
      <c r="O3" s="6" t="s">
        <v>8</v>
      </c>
      <c r="P3" s="6" t="s">
        <v>9</v>
      </c>
      <c r="Q3" s="6" t="s">
        <v>10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7"/>
      <c r="EI3" s="13"/>
    </row>
    <row x14ac:dyDescent="0.25" r="4" customHeight="1" ht="18">
      <c r="A4" s="15">
        <v>45341.625</v>
      </c>
      <c r="B4" s="12">
        <v>28169</v>
      </c>
      <c r="C4" s="12">
        <v>42630</v>
      </c>
      <c r="D4" s="12">
        <v>49757</v>
      </c>
      <c r="E4" s="12">
        <v>2227</v>
      </c>
      <c r="F4" s="12">
        <v>2388</v>
      </c>
      <c r="G4" s="12">
        <v>2329</v>
      </c>
      <c r="H4" s="16">
        <f>AVERAGE(E4:G4)*1000/47400</f>
      </c>
      <c r="I4" s="6" t="s">
        <v>12</v>
      </c>
      <c r="J4" s="16">
        <v>0.9999999999999999</v>
      </c>
      <c r="K4" s="17">
        <v>576847.8974654378</v>
      </c>
      <c r="L4" s="17">
        <v>872981.8548387097</v>
      </c>
      <c r="M4" s="17">
        <v>1018929.349078341</v>
      </c>
      <c r="N4" s="7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7"/>
      <c r="EI4" s="13"/>
    </row>
    <row x14ac:dyDescent="0.25" r="5" customHeight="1" ht="18">
      <c r="A5" s="15">
        <v>45342.395833333336</v>
      </c>
      <c r="B5" s="12">
        <v>13393</v>
      </c>
      <c r="C5" s="12">
        <v>21338</v>
      </c>
      <c r="D5" s="12">
        <v>23834</v>
      </c>
      <c r="E5" s="12">
        <v>1271</v>
      </c>
      <c r="F5" s="12">
        <v>1293</v>
      </c>
      <c r="G5" s="12">
        <v>1315</v>
      </c>
      <c r="H5" s="16">
        <f>AVERAGE(E5:G5)*1000/47400</f>
      </c>
      <c r="I5" s="6" t="s">
        <v>13</v>
      </c>
      <c r="J5" s="12">
        <v>1</v>
      </c>
      <c r="K5" s="17">
        <v>490973.0858468677</v>
      </c>
      <c r="L5" s="17">
        <v>782228.3062645011</v>
      </c>
      <c r="M5" s="17">
        <v>873729.0023201855</v>
      </c>
      <c r="N5" s="7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7"/>
      <c r="EI5" s="13"/>
    </row>
    <row x14ac:dyDescent="0.25" r="6" customHeight="1" ht="18">
      <c r="A6" s="15">
        <v>45343.395833333336</v>
      </c>
      <c r="B6" s="12">
        <v>53895</v>
      </c>
      <c r="C6" s="12">
        <v>69298</v>
      </c>
      <c r="D6" s="12">
        <v>85244</v>
      </c>
      <c r="E6" s="12">
        <v>2458</v>
      </c>
      <c r="F6" s="12">
        <v>2448</v>
      </c>
      <c r="G6" s="12">
        <v>2527</v>
      </c>
      <c r="H6" s="16">
        <f>AVERAGE(E6:G6)*1000/47400</f>
      </c>
      <c r="I6" s="6" t="s">
        <v>12</v>
      </c>
      <c r="J6" s="12">
        <v>1</v>
      </c>
      <c r="K6" s="17">
        <v>1031060.0026907036</v>
      </c>
      <c r="L6" s="17">
        <v>1325733.2974572852</v>
      </c>
      <c r="M6" s="17">
        <v>1630794.6724068346</v>
      </c>
      <c r="N6" s="12">
        <v>1</v>
      </c>
      <c r="O6" s="6" t="s">
        <v>50</v>
      </c>
      <c r="P6" s="6" t="s">
        <v>51</v>
      </c>
      <c r="Q6" s="6" t="s">
        <v>52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7"/>
      <c r="EI6" s="13"/>
    </row>
    <row x14ac:dyDescent="0.25" r="7" customHeight="1" ht="18">
      <c r="A7" s="15">
        <v>45344.395833333336</v>
      </c>
      <c r="B7" s="12">
        <v>23011</v>
      </c>
      <c r="C7" s="12">
        <v>37775</v>
      </c>
      <c r="D7" s="12">
        <v>47677</v>
      </c>
      <c r="E7" s="12">
        <v>1271</v>
      </c>
      <c r="F7" s="12">
        <v>1293</v>
      </c>
      <c r="G7" s="12">
        <v>1315</v>
      </c>
      <c r="H7" s="16">
        <f>AVERAGE(E7:G7)*1000/47400</f>
      </c>
      <c r="I7" s="6" t="s">
        <v>13</v>
      </c>
      <c r="J7" s="12">
        <v>1</v>
      </c>
      <c r="K7" s="17">
        <v>853237.0795306389</v>
      </c>
      <c r="L7" s="17">
        <v>1400679.26988266</v>
      </c>
      <c r="M7" s="17">
        <v>1767840.7822685791</v>
      </c>
      <c r="N7" s="12">
        <v>1</v>
      </c>
      <c r="O7" s="6" t="s">
        <v>88</v>
      </c>
      <c r="P7" s="6" t="s">
        <v>89</v>
      </c>
      <c r="Q7" s="6" t="s">
        <v>90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7"/>
      <c r="EI7" s="13"/>
    </row>
    <row x14ac:dyDescent="0.25" r="8" customHeight="1" ht="18">
      <c r="A8" s="15">
        <v>45345.395833333336</v>
      </c>
      <c r="B8" s="12">
        <v>5772</v>
      </c>
      <c r="C8" s="12">
        <v>12886</v>
      </c>
      <c r="D8" s="12">
        <v>10859</v>
      </c>
      <c r="E8" s="12">
        <v>2395</v>
      </c>
      <c r="F8" s="12">
        <v>2371</v>
      </c>
      <c r="G8" s="12">
        <v>2340</v>
      </c>
      <c r="H8" s="16">
        <f>AVERAGE(E8:G8)*1000/47400</f>
      </c>
      <c r="I8" s="6" t="s">
        <v>12</v>
      </c>
      <c r="J8" s="12">
        <v>10</v>
      </c>
      <c r="K8" s="17">
        <v>1070115.2542372881</v>
      </c>
      <c r="L8" s="17">
        <v>2389034.1590612778</v>
      </c>
      <c r="M8" s="17">
        <v>2013233.1160365061</v>
      </c>
      <c r="N8" s="12">
        <v>11</v>
      </c>
      <c r="O8" s="6" t="s">
        <v>23</v>
      </c>
      <c r="P8" s="6" t="s">
        <v>24</v>
      </c>
      <c r="Q8" s="6" t="s">
        <v>25</v>
      </c>
      <c r="R8" s="6"/>
      <c r="S8" s="6"/>
      <c r="T8" s="6"/>
      <c r="U8" s="6"/>
      <c r="V8" s="6"/>
      <c r="W8" s="6"/>
      <c r="X8" s="18"/>
      <c r="Y8" s="6"/>
      <c r="Z8" s="6"/>
      <c r="AA8" s="18"/>
      <c r="AB8" s="6"/>
      <c r="AC8" s="6"/>
      <c r="AD8" s="18"/>
      <c r="AE8" s="6"/>
      <c r="AF8" s="6"/>
      <c r="AG8" s="18"/>
      <c r="AH8" s="6"/>
      <c r="AI8" s="6"/>
      <c r="AJ8" s="18"/>
      <c r="AK8" s="6"/>
      <c r="AL8" s="6"/>
      <c r="AM8" s="18"/>
      <c r="AN8" s="6"/>
      <c r="AO8" s="6"/>
      <c r="AP8" s="6"/>
      <c r="AQ8" s="6"/>
      <c r="AR8" s="18"/>
      <c r="AS8" s="6"/>
      <c r="AT8" s="6"/>
      <c r="AU8" s="6"/>
      <c r="AV8" s="6"/>
      <c r="AW8" s="18"/>
      <c r="AX8" s="6"/>
      <c r="AY8" s="6"/>
      <c r="AZ8" s="6"/>
      <c r="BA8" s="6"/>
      <c r="BB8" s="18"/>
      <c r="BC8" s="6"/>
      <c r="BD8" s="6"/>
      <c r="BE8" s="6"/>
      <c r="BF8" s="6"/>
      <c r="BG8" s="18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36"/>
      <c r="CO8" s="6"/>
      <c r="CP8" s="6"/>
      <c r="CQ8" s="6"/>
      <c r="CR8" s="6"/>
      <c r="CS8" s="3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7"/>
      <c r="EI8" s="13"/>
    </row>
    <row x14ac:dyDescent="0.25" r="9" customHeight="1" ht="18">
      <c r="A9" s="15">
        <v>45348.395833333336</v>
      </c>
      <c r="B9" s="12">
        <v>4528</v>
      </c>
      <c r="C9" s="12">
        <v>7391</v>
      </c>
      <c r="D9" s="12">
        <v>8282</v>
      </c>
      <c r="E9" s="12">
        <v>2458</v>
      </c>
      <c r="F9" s="12">
        <v>2448</v>
      </c>
      <c r="G9" s="12">
        <v>2527</v>
      </c>
      <c r="H9" s="16">
        <f>AVERAGE(E9:G9)*1000/47400</f>
      </c>
      <c r="I9" s="6" t="s">
        <v>12</v>
      </c>
      <c r="J9" s="12">
        <v>20</v>
      </c>
      <c r="K9" s="17">
        <v>1812219.5327891924</v>
      </c>
      <c r="L9" s="17">
        <v>2958064.171122995</v>
      </c>
      <c r="M9" s="17">
        <v>3314664.7903180416</v>
      </c>
      <c r="N9" s="12">
        <v>11</v>
      </c>
      <c r="O9" s="6" t="s">
        <v>50</v>
      </c>
      <c r="P9" s="6" t="s">
        <v>51</v>
      </c>
      <c r="Q9" s="6" t="s">
        <v>52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36"/>
      <c r="CO9" s="6"/>
      <c r="CP9" s="6"/>
      <c r="CQ9" s="6"/>
      <c r="CR9" s="6"/>
      <c r="CS9" s="3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7"/>
      <c r="EI9" s="13"/>
    </row>
    <row x14ac:dyDescent="0.25" r="10" customHeight="1" ht="18">
      <c r="A10" s="15">
        <v>45349.395833333336</v>
      </c>
      <c r="B10" s="12">
        <v>7469</v>
      </c>
      <c r="C10" s="12">
        <v>8433</v>
      </c>
      <c r="D10" s="12">
        <v>10354</v>
      </c>
      <c r="E10" s="12">
        <v>2550</v>
      </c>
      <c r="F10" s="12">
        <v>2504</v>
      </c>
      <c r="G10" s="12">
        <v>2552</v>
      </c>
      <c r="H10" s="16">
        <f>AVERAGE(E10:G10)*1000/47400</f>
      </c>
      <c r="I10" s="6" t="s">
        <v>12</v>
      </c>
      <c r="J10" s="12">
        <v>20</v>
      </c>
      <c r="K10" s="17">
        <v>2792773.5997896395</v>
      </c>
      <c r="L10" s="17">
        <v>3153227.977912174</v>
      </c>
      <c r="M10" s="17">
        <v>3871519.3268472254</v>
      </c>
      <c r="N10" s="12">
        <v>2</v>
      </c>
      <c r="O10" s="6" t="s">
        <v>97</v>
      </c>
      <c r="P10" s="6" t="s">
        <v>98</v>
      </c>
      <c r="Q10" s="6" t="s">
        <v>99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36"/>
      <c r="CO10" s="6"/>
      <c r="CP10" s="6"/>
      <c r="CQ10" s="6"/>
      <c r="CR10" s="6"/>
      <c r="CS10" s="3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7"/>
      <c r="EI10" s="13"/>
    </row>
    <row x14ac:dyDescent="0.25" r="11" customHeight="1" ht="18">
      <c r="A11" s="15">
        <v>45350.395833333336</v>
      </c>
      <c r="B11" s="12">
        <v>6153</v>
      </c>
      <c r="C11" s="12">
        <v>9073</v>
      </c>
      <c r="D11" s="12">
        <v>12038</v>
      </c>
      <c r="E11" s="12">
        <v>2599</v>
      </c>
      <c r="F11" s="12">
        <v>2587</v>
      </c>
      <c r="G11" s="12">
        <v>2639</v>
      </c>
      <c r="H11" s="16">
        <f>AVERAGE(E11:G11)*1000/47400</f>
      </c>
      <c r="I11" s="6" t="s">
        <v>12</v>
      </c>
      <c r="J11" s="12">
        <v>20</v>
      </c>
      <c r="K11" s="17">
        <v>2236310.7987220446</v>
      </c>
      <c r="L11" s="17">
        <v>3297586.198083067</v>
      </c>
      <c r="M11" s="17">
        <v>4375216.869009584</v>
      </c>
      <c r="N11" s="12">
        <v>2</v>
      </c>
      <c r="O11" s="6" t="s">
        <v>85</v>
      </c>
      <c r="P11" s="6" t="s">
        <v>86</v>
      </c>
      <c r="Q11" s="6" t="s">
        <v>87</v>
      </c>
      <c r="R11" s="6"/>
      <c r="S11" s="6"/>
      <c r="T11" s="6"/>
      <c r="U11" s="6"/>
      <c r="V11" s="18"/>
      <c r="W11" s="6"/>
      <c r="X11" s="6"/>
      <c r="Y11" s="6"/>
      <c r="Z11" s="6"/>
      <c r="AA11" s="6"/>
      <c r="AB11" s="6"/>
      <c r="AC11" s="18"/>
      <c r="AD11" s="6"/>
      <c r="AE11" s="6"/>
      <c r="AF11" s="18"/>
      <c r="AG11" s="6"/>
      <c r="AH11" s="6"/>
      <c r="AI11" s="18"/>
      <c r="AJ11" s="6"/>
      <c r="AK11" s="6"/>
      <c r="AL11" s="18"/>
      <c r="AM11" s="6"/>
      <c r="AN11" s="6"/>
      <c r="AO11" s="18"/>
      <c r="AP11" s="6"/>
      <c r="AQ11" s="6"/>
      <c r="AR11" s="18"/>
      <c r="AS11" s="6"/>
      <c r="AT11" s="6"/>
      <c r="AU11" s="6"/>
      <c r="AV11" s="6"/>
      <c r="AW11" s="18"/>
      <c r="AX11" s="6"/>
      <c r="AY11" s="6"/>
      <c r="AZ11" s="6"/>
      <c r="BA11" s="6"/>
      <c r="BB11" s="18"/>
      <c r="BC11" s="6"/>
      <c r="BD11" s="6"/>
      <c r="BE11" s="6"/>
      <c r="BF11" s="6"/>
      <c r="BG11" s="18"/>
      <c r="BH11" s="6"/>
      <c r="BI11" s="6"/>
      <c r="BJ11" s="6"/>
      <c r="BK11" s="6"/>
      <c r="BL11" s="18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36"/>
      <c r="CT11" s="6"/>
      <c r="CU11" s="6"/>
      <c r="CV11" s="6"/>
      <c r="CW11" s="6"/>
      <c r="CX11" s="3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7"/>
      <c r="EI11" s="13"/>
    </row>
    <row x14ac:dyDescent="0.25" r="12" customHeight="1" ht="18">
      <c r="A12" s="15">
        <v>45351.395833333336</v>
      </c>
      <c r="B12" s="12">
        <v>8448</v>
      </c>
      <c r="C12" s="12">
        <v>11133</v>
      </c>
      <c r="D12" s="12">
        <v>12868</v>
      </c>
      <c r="E12" s="12">
        <v>2647</v>
      </c>
      <c r="F12" s="12">
        <v>2666</v>
      </c>
      <c r="G12" s="12">
        <v>2565</v>
      </c>
      <c r="H12" s="16">
        <f>AVERAGE(E12:G12)*1000/47400</f>
      </c>
      <c r="I12" s="6" t="s">
        <v>12</v>
      </c>
      <c r="J12" s="12">
        <v>20</v>
      </c>
      <c r="K12" s="17">
        <v>3049773.038842346</v>
      </c>
      <c r="L12" s="17">
        <v>4019072.3533891854</v>
      </c>
      <c r="M12" s="17">
        <v>4645416.603198782</v>
      </c>
      <c r="N12" s="12">
        <v>12</v>
      </c>
      <c r="O12" s="6" t="s">
        <v>23</v>
      </c>
      <c r="P12" s="6" t="s">
        <v>24</v>
      </c>
      <c r="Q12" s="6" t="s">
        <v>25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36"/>
      <c r="CT12" s="6"/>
      <c r="CU12" s="6"/>
      <c r="CV12" s="6"/>
      <c r="CW12" s="6"/>
      <c r="CX12" s="3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12">
        <v>4697</v>
      </c>
      <c r="EI12" s="13"/>
    </row>
    <row x14ac:dyDescent="0.25" r="13" customHeight="1" ht="18">
      <c r="A13" s="15">
        <v>45352.395833333336</v>
      </c>
      <c r="B13" s="12">
        <v>10440</v>
      </c>
      <c r="C13" s="12">
        <v>16886</v>
      </c>
      <c r="D13" s="12">
        <v>13088</v>
      </c>
      <c r="E13" s="12">
        <v>2474</v>
      </c>
      <c r="F13" s="12">
        <v>2453</v>
      </c>
      <c r="G13" s="12">
        <v>2516</v>
      </c>
      <c r="H13" s="16">
        <f>AVERAGE(E13:G13)*1000/47400</f>
      </c>
      <c r="I13" s="6" t="s">
        <v>12</v>
      </c>
      <c r="J13" s="12">
        <v>20</v>
      </c>
      <c r="K13" s="17">
        <v>3989165.659008465</v>
      </c>
      <c r="L13" s="17">
        <v>6452207.980652963</v>
      </c>
      <c r="M13" s="17">
        <v>5000977.025392987</v>
      </c>
      <c r="N13" s="12">
        <v>12</v>
      </c>
      <c r="O13" s="6" t="s">
        <v>85</v>
      </c>
      <c r="P13" s="6" t="s">
        <v>86</v>
      </c>
      <c r="Q13" s="6" t="s">
        <v>87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36"/>
      <c r="CT13" s="6"/>
      <c r="CU13" s="6"/>
      <c r="CV13" s="6"/>
      <c r="CW13" s="6"/>
      <c r="CX13" s="3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12">
        <v>4821</v>
      </c>
      <c r="EI13" s="16">
        <f>AVERAGE(EH12:EH14)*1000/49350</f>
      </c>
    </row>
    <row x14ac:dyDescent="0.25" r="14" customHeight="1" ht="18">
      <c r="A14" s="15">
        <v>45355.395833333336</v>
      </c>
      <c r="B14" s="12">
        <v>11985</v>
      </c>
      <c r="C14" s="12">
        <v>24685</v>
      </c>
      <c r="D14" s="12">
        <v>23500</v>
      </c>
      <c r="E14" s="12">
        <v>2402</v>
      </c>
      <c r="F14" s="12">
        <v>2380</v>
      </c>
      <c r="G14" s="12">
        <v>2366</v>
      </c>
      <c r="H14" s="16">
        <f>AVERAGE(E14:G14)*1000/47400</f>
      </c>
      <c r="I14" s="6" t="s">
        <v>12</v>
      </c>
      <c r="J14" s="16">
        <v>19.999999999999996</v>
      </c>
      <c r="K14" s="17">
        <v>4768514.269725798</v>
      </c>
      <c r="L14" s="17">
        <v>9821508.114157807</v>
      </c>
      <c r="M14" s="17">
        <v>9350027.979854506</v>
      </c>
      <c r="N14" s="12">
        <v>3</v>
      </c>
      <c r="O14" s="6" t="s">
        <v>85</v>
      </c>
      <c r="P14" s="6" t="s">
        <v>86</v>
      </c>
      <c r="Q14" s="6" t="s">
        <v>87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36"/>
      <c r="CT14" s="6"/>
      <c r="CU14" s="6"/>
      <c r="CV14" s="6"/>
      <c r="CW14" s="6"/>
      <c r="CX14" s="3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12">
        <v>4773</v>
      </c>
      <c r="EI14" s="13"/>
    </row>
    <row x14ac:dyDescent="0.25" r="15" customHeight="1" ht="18">
      <c r="A15" s="15">
        <v>45356.395833333336</v>
      </c>
      <c r="B15" s="12">
        <v>15512</v>
      </c>
      <c r="C15" s="12">
        <v>25012</v>
      </c>
      <c r="D15" s="12">
        <v>27437</v>
      </c>
      <c r="E15" s="12">
        <v>2723</v>
      </c>
      <c r="F15" s="12">
        <v>2624</v>
      </c>
      <c r="G15" s="12">
        <v>2557</v>
      </c>
      <c r="H15" s="16">
        <f>AVERAGE(E15:G15)*1000/47400</f>
      </c>
      <c r="I15" s="6" t="s">
        <v>12</v>
      </c>
      <c r="J15" s="12">
        <v>20</v>
      </c>
      <c r="K15" s="17">
        <v>5581493.927125507</v>
      </c>
      <c r="L15" s="17">
        <v>8999763.157894738</v>
      </c>
      <c r="M15" s="17">
        <v>9872321.356275305</v>
      </c>
      <c r="N15" s="12">
        <v>4</v>
      </c>
      <c r="O15" s="6" t="s">
        <v>50</v>
      </c>
      <c r="P15" s="6" t="s">
        <v>51</v>
      </c>
      <c r="Q15" s="6" t="s">
        <v>52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36"/>
      <c r="CT15" s="6"/>
      <c r="CU15" s="6"/>
      <c r="CV15" s="6"/>
      <c r="CW15" s="6"/>
      <c r="CX15" s="3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7"/>
      <c r="EI15" s="13"/>
    </row>
    <row x14ac:dyDescent="0.25" r="16" customHeight="1" ht="18">
      <c r="A16" s="15">
        <v>45357.395833333336</v>
      </c>
      <c r="B16" s="12">
        <v>18043</v>
      </c>
      <c r="C16" s="12">
        <v>25573</v>
      </c>
      <c r="D16" s="12">
        <v>27328</v>
      </c>
      <c r="E16" s="12">
        <v>2796</v>
      </c>
      <c r="F16" s="12">
        <v>2699</v>
      </c>
      <c r="G16" s="12">
        <v>2754</v>
      </c>
      <c r="H16" s="16">
        <f>AVERAGE(E16:G16)*1000/47400</f>
      </c>
      <c r="I16" s="6" t="s">
        <v>12</v>
      </c>
      <c r="J16" s="12">
        <v>20</v>
      </c>
      <c r="K16" s="17">
        <v>6220668.2022063285</v>
      </c>
      <c r="L16" s="17">
        <v>8816779.24596921</v>
      </c>
      <c r="M16" s="17">
        <v>9421848.951388048</v>
      </c>
      <c r="N16" s="12">
        <v>5</v>
      </c>
      <c r="O16" s="6" t="s">
        <v>75</v>
      </c>
      <c r="P16" s="6" t="s">
        <v>76</v>
      </c>
      <c r="Q16" s="6" t="s">
        <v>77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36"/>
      <c r="CT16" s="6"/>
      <c r="CU16" s="6"/>
      <c r="CV16" s="6"/>
      <c r="CW16" s="6"/>
      <c r="CX16" s="3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7"/>
      <c r="EI16" s="13"/>
    </row>
    <row x14ac:dyDescent="0.25" r="17" customHeight="1" ht="18">
      <c r="A17" s="15">
        <v>45357.75</v>
      </c>
      <c r="B17" s="12">
        <v>70032</v>
      </c>
      <c r="C17" s="12">
        <v>78231</v>
      </c>
      <c r="D17" s="12">
        <v>68558</v>
      </c>
      <c r="E17" s="12">
        <v>2796</v>
      </c>
      <c r="F17" s="12">
        <v>2699</v>
      </c>
      <c r="G17" s="12">
        <v>2754</v>
      </c>
      <c r="H17" s="16">
        <f>AVERAGE(E17:G17)*1000/47400</f>
      </c>
      <c r="I17" s="6" t="s">
        <v>12</v>
      </c>
      <c r="J17" s="12">
        <v>1</v>
      </c>
      <c r="K17" s="17">
        <v>1207243.3507091769</v>
      </c>
      <c r="L17" s="17">
        <v>1348581.4280518852</v>
      </c>
      <c r="M17" s="17">
        <v>1181833.8707722148</v>
      </c>
      <c r="N17" s="12">
        <v>5</v>
      </c>
      <c r="O17" s="6" t="s">
        <v>97</v>
      </c>
      <c r="P17" s="6" t="s">
        <v>98</v>
      </c>
      <c r="Q17" s="6" t="s">
        <v>99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46"/>
      <c r="EI17" s="47"/>
    </row>
    <row x14ac:dyDescent="0.25" r="18" customHeight="1" ht="18">
      <c r="A18" s="15">
        <v>45358.375</v>
      </c>
      <c r="B18" s="12">
        <v>35664</v>
      </c>
      <c r="C18" s="12">
        <v>37637</v>
      </c>
      <c r="D18" s="12">
        <v>36441</v>
      </c>
      <c r="E18" s="12">
        <v>2639</v>
      </c>
      <c r="F18" s="12">
        <v>2550</v>
      </c>
      <c r="G18" s="12">
        <v>2603</v>
      </c>
      <c r="H18" s="16">
        <f>AVERAGE(E18:G18)*1000/47400</f>
      </c>
      <c r="I18" s="6" t="s">
        <v>12</v>
      </c>
      <c r="J18" s="12">
        <v>2</v>
      </c>
      <c r="K18" s="17">
        <v>1301699.3839835727</v>
      </c>
      <c r="L18" s="17">
        <v>1373711.8583162217</v>
      </c>
      <c r="M18" s="17">
        <v>1330059.0862422998</v>
      </c>
      <c r="N18" s="12">
        <v>5</v>
      </c>
      <c r="O18" s="6" t="s">
        <v>105</v>
      </c>
      <c r="P18" s="6" t="s">
        <v>106</v>
      </c>
      <c r="Q18" s="6" t="s">
        <v>107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7"/>
      <c r="EI18" s="13"/>
    </row>
    <row x14ac:dyDescent="0.25" r="19" customHeight="1" ht="18">
      <c r="A19" s="15">
        <v>45359.375</v>
      </c>
      <c r="B19" s="12">
        <v>27004</v>
      </c>
      <c r="C19" s="12">
        <v>29351</v>
      </c>
      <c r="D19" s="12">
        <v>26965</v>
      </c>
      <c r="E19" s="12">
        <v>2480</v>
      </c>
      <c r="F19" s="12">
        <v>2381</v>
      </c>
      <c r="G19" s="12">
        <v>2327</v>
      </c>
      <c r="H19" s="16">
        <f>AVERAGE(E19:G19)*1000/47400</f>
      </c>
      <c r="I19" s="6" t="s">
        <v>12</v>
      </c>
      <c r="J19" s="12">
        <v>3</v>
      </c>
      <c r="K19" s="17">
        <v>1602658.0968280467</v>
      </c>
      <c r="L19" s="17">
        <v>1741950</v>
      </c>
      <c r="M19" s="17">
        <v>1600343.489148581</v>
      </c>
      <c r="N19" s="12">
        <v>6</v>
      </c>
      <c r="O19" s="6" t="s">
        <v>105</v>
      </c>
      <c r="P19" s="6" t="s">
        <v>106</v>
      </c>
      <c r="Q19" s="6" t="s">
        <v>107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7"/>
      <c r="EI19" s="13"/>
    </row>
    <row x14ac:dyDescent="0.25" r="20" customHeight="1" ht="18">
      <c r="A20" s="15">
        <v>45363.375</v>
      </c>
      <c r="B20" s="12">
        <v>7756</v>
      </c>
      <c r="C20" s="12">
        <v>7428</v>
      </c>
      <c r="D20" s="12">
        <v>6618</v>
      </c>
      <c r="E20" s="12">
        <v>2284</v>
      </c>
      <c r="F20" s="12">
        <v>2309</v>
      </c>
      <c r="G20" s="12">
        <v>2349</v>
      </c>
      <c r="H20" s="16">
        <f>AVERAGE(E20:G20)*1000/49350</f>
      </c>
      <c r="I20" s="6" t="s">
        <v>12</v>
      </c>
      <c r="J20" s="12">
        <v>20</v>
      </c>
      <c r="K20" s="17">
        <v>3308198.7899740706</v>
      </c>
      <c r="L20" s="17">
        <v>3168295.592048401</v>
      </c>
      <c r="M20" s="17">
        <v>2822802.9386343993</v>
      </c>
      <c r="N20" s="12">
        <v>6</v>
      </c>
      <c r="O20" s="6" t="s">
        <v>108</v>
      </c>
      <c r="P20" s="6" t="s">
        <v>109</v>
      </c>
      <c r="Q20" s="6" t="s">
        <v>110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7"/>
      <c r="EI20" s="13"/>
    </row>
    <row x14ac:dyDescent="0.25" r="21" customHeight="1" ht="18">
      <c r="A21" s="15">
        <v>45364.375</v>
      </c>
      <c r="B21" s="12">
        <v>14242</v>
      </c>
      <c r="C21" s="12">
        <v>17801</v>
      </c>
      <c r="D21" s="12">
        <v>18365</v>
      </c>
      <c r="E21" s="12">
        <v>2272</v>
      </c>
      <c r="F21" s="12">
        <v>2204</v>
      </c>
      <c r="G21" s="12">
        <v>2254</v>
      </c>
      <c r="H21" s="16">
        <f>AVERAGE(E21:G21)*1000/49350</f>
      </c>
      <c r="I21" s="6" t="s">
        <v>12</v>
      </c>
      <c r="J21" s="12">
        <v>10</v>
      </c>
      <c r="K21" s="17">
        <v>3153882.4321292345</v>
      </c>
      <c r="L21" s="17">
        <v>3942020.8660533987</v>
      </c>
      <c r="M21" s="17">
        <v>4066918.330715728</v>
      </c>
      <c r="N21" s="12">
        <v>7</v>
      </c>
      <c r="O21" s="6" t="s">
        <v>105</v>
      </c>
      <c r="P21" s="6" t="s">
        <v>106</v>
      </c>
      <c r="Q21" s="6" t="s">
        <v>107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7"/>
      <c r="EI21" s="13"/>
    </row>
    <row x14ac:dyDescent="0.25" r="22" customHeight="1" ht="18">
      <c r="A22" s="15">
        <v>45365.375</v>
      </c>
      <c r="B22" s="12">
        <v>9899</v>
      </c>
      <c r="C22" s="12">
        <v>11218</v>
      </c>
      <c r="D22" s="12">
        <v>9910</v>
      </c>
      <c r="E22" s="12">
        <v>2462</v>
      </c>
      <c r="F22" s="12">
        <v>2461</v>
      </c>
      <c r="G22" s="12">
        <v>2486</v>
      </c>
      <c r="H22" s="16">
        <f>AVERAGE(E22:G22)*1000/49350</f>
      </c>
      <c r="I22" s="6" t="s">
        <v>12</v>
      </c>
      <c r="J22" s="12">
        <v>20</v>
      </c>
      <c r="K22" s="17">
        <v>3956126.1978674587</v>
      </c>
      <c r="L22" s="17">
        <v>4483263.328384398</v>
      </c>
      <c r="M22" s="17">
        <v>3960522.337697395</v>
      </c>
      <c r="N22" s="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7"/>
      <c r="EI22" s="13"/>
    </row>
    <row x14ac:dyDescent="0.25" r="23" customHeight="1" ht="18">
      <c r="A23" s="15">
        <v>45366.375</v>
      </c>
      <c r="B23" s="12">
        <v>12363</v>
      </c>
      <c r="C23" s="12">
        <v>12355</v>
      </c>
      <c r="D23" s="12">
        <v>12098</v>
      </c>
      <c r="E23" s="39" t="s">
        <v>111</v>
      </c>
      <c r="F23" s="39"/>
      <c r="G23" s="39"/>
      <c r="H23" s="16">
        <v>48.79</v>
      </c>
      <c r="I23" s="6" t="s">
        <v>12</v>
      </c>
      <c r="J23" s="12">
        <v>20</v>
      </c>
      <c r="K23" s="17">
        <v>5067841.770854684</v>
      </c>
      <c r="L23" s="17">
        <v>5064562.410329985</v>
      </c>
      <c r="M23" s="17">
        <v>4959212.953474073</v>
      </c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7"/>
      <c r="EI23" s="13"/>
    </row>
    <row x14ac:dyDescent="0.25" r="24" customHeight="1" ht="18">
      <c r="A24" s="15">
        <v>45367.5</v>
      </c>
      <c r="B24" s="12">
        <v>137321</v>
      </c>
      <c r="C24" s="12">
        <v>150235</v>
      </c>
      <c r="D24" s="12">
        <v>146204</v>
      </c>
      <c r="E24" s="12">
        <v>1147</v>
      </c>
      <c r="F24" s="12">
        <v>1132</v>
      </c>
      <c r="G24" s="12">
        <v>1201</v>
      </c>
      <c r="H24" s="16">
        <f>AVERAGE(E24:G24)*1000/49350</f>
      </c>
      <c r="I24" s="6" t="s">
        <v>13</v>
      </c>
      <c r="J24" s="12">
        <v>1</v>
      </c>
      <c r="K24" s="17">
        <v>5842061.50862069</v>
      </c>
      <c r="L24" s="17">
        <v>6391463.1465517245</v>
      </c>
      <c r="M24" s="17">
        <v>6219971.8965517245</v>
      </c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7"/>
      <c r="EI24" s="13"/>
    </row>
    <row x14ac:dyDescent="0.25" r="25" customHeight="1" ht="18">
      <c r="A25" s="15">
        <v>45368.416666666664</v>
      </c>
      <c r="B25" s="12">
        <v>46458</v>
      </c>
      <c r="C25" s="12">
        <v>53539</v>
      </c>
      <c r="D25" s="12">
        <v>52693</v>
      </c>
      <c r="E25" s="12">
        <v>419</v>
      </c>
      <c r="F25" s="12">
        <v>410</v>
      </c>
      <c r="G25" s="12">
        <v>435</v>
      </c>
      <c r="H25" s="16">
        <f>AVERAGE(E25:G25)*1000/49350</f>
      </c>
      <c r="I25" s="6" t="s">
        <v>53</v>
      </c>
      <c r="J25" s="12">
        <v>1</v>
      </c>
      <c r="K25" s="17">
        <v>5441540.268987342</v>
      </c>
      <c r="L25" s="17">
        <v>6270924.80221519</v>
      </c>
      <c r="M25" s="17">
        <v>6171834.375</v>
      </c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7"/>
      <c r="EI25" s="13"/>
    </row>
    <row x14ac:dyDescent="0.25" r="26" customHeight="1" ht="18">
      <c r="A26" s="15">
        <v>45369.416666666664</v>
      </c>
      <c r="B26" s="12">
        <v>18437</v>
      </c>
      <c r="C26" s="12">
        <v>18545</v>
      </c>
      <c r="D26" s="12">
        <v>16599</v>
      </c>
      <c r="E26" s="12">
        <v>2384</v>
      </c>
      <c r="F26" s="12">
        <v>2445</v>
      </c>
      <c r="G26" s="12">
        <v>2453</v>
      </c>
      <c r="H26" s="16">
        <f>AVERAGE(E26:G26)*1000/49350</f>
      </c>
      <c r="I26" s="6" t="s">
        <v>12</v>
      </c>
      <c r="J26" s="12">
        <v>20</v>
      </c>
      <c r="K26" s="17">
        <v>7496835.622081845</v>
      </c>
      <c r="L26" s="17">
        <v>7540750.480637187</v>
      </c>
      <c r="M26" s="17">
        <v>6749469.788519638</v>
      </c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7"/>
      <c r="EI26" s="13"/>
    </row>
    <row x14ac:dyDescent="0.25" r="27" customHeight="1" ht="18">
      <c r="A27" s="15">
        <v>45370.416666666664</v>
      </c>
      <c r="B27" s="12">
        <v>7829</v>
      </c>
      <c r="C27" s="12">
        <v>7429</v>
      </c>
      <c r="D27" s="12">
        <v>8568</v>
      </c>
      <c r="E27" s="12">
        <v>2514</v>
      </c>
      <c r="F27" s="12">
        <v>2431</v>
      </c>
      <c r="G27" s="12">
        <v>2517</v>
      </c>
      <c r="H27" s="16">
        <f>AVERAGE(E27:G27)*1000/49350</f>
      </c>
      <c r="I27" s="6" t="s">
        <v>12</v>
      </c>
      <c r="J27" s="12">
        <v>50</v>
      </c>
      <c r="K27" s="17">
        <v>7766573.639774858</v>
      </c>
      <c r="L27" s="17">
        <v>7369763.133208254</v>
      </c>
      <c r="M27" s="17">
        <v>8499681.05065666</v>
      </c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7"/>
      <c r="EI27" s="13"/>
    </row>
    <row x14ac:dyDescent="0.25" r="28" customHeight="1" ht="18">
      <c r="A28" s="15">
        <v>45371.416666666664</v>
      </c>
      <c r="B28" s="12">
        <v>8753</v>
      </c>
      <c r="C28" s="12">
        <v>10376</v>
      </c>
      <c r="D28" s="12">
        <v>9585</v>
      </c>
      <c r="E28" s="12">
        <v>2506</v>
      </c>
      <c r="F28" s="12">
        <v>2532</v>
      </c>
      <c r="G28" s="12">
        <v>2476</v>
      </c>
      <c r="H28" s="16">
        <f>AVERAGE(E28:G28)*1000/49350</f>
      </c>
      <c r="I28" s="6" t="s">
        <v>12</v>
      </c>
      <c r="J28" s="12">
        <v>50</v>
      </c>
      <c r="K28" s="17">
        <v>8623114.519563483</v>
      </c>
      <c r="L28" s="17">
        <v>10222030.875698697</v>
      </c>
      <c r="M28" s="17">
        <v>9442768.498802237</v>
      </c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7"/>
      <c r="EI28" s="13"/>
    </row>
    <row x14ac:dyDescent="0.25" r="29" customHeight="1" ht="18">
      <c r="A29" s="15">
        <v>45372.416666666664</v>
      </c>
      <c r="B29" s="12">
        <v>11045</v>
      </c>
      <c r="C29" s="12">
        <v>10367</v>
      </c>
      <c r="D29" s="12">
        <v>10884</v>
      </c>
      <c r="E29" s="12">
        <v>2056</v>
      </c>
      <c r="F29" s="12">
        <v>2163</v>
      </c>
      <c r="G29" s="12">
        <v>2163</v>
      </c>
      <c r="H29" s="16">
        <f>AVERAGE(E29:G29)*1000/49350</f>
      </c>
      <c r="I29" s="6" t="s">
        <v>12</v>
      </c>
      <c r="J29" s="12">
        <v>50</v>
      </c>
      <c r="K29" s="17">
        <v>12811126.99780633</v>
      </c>
      <c r="L29" s="17">
        <v>12024712.86430586</v>
      </c>
      <c r="M29" s="17">
        <v>12624382.638671262</v>
      </c>
      <c r="N29" s="7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7"/>
      <c r="EI29" s="13"/>
    </row>
    <row x14ac:dyDescent="0.25" r="30" customHeight="1" ht="18">
      <c r="A30" s="15">
        <v>45373.416666666664</v>
      </c>
      <c r="B30" s="12">
        <v>16710</v>
      </c>
      <c r="C30" s="12">
        <v>9759</v>
      </c>
      <c r="D30" s="12">
        <v>12234</v>
      </c>
      <c r="E30" s="12">
        <v>2414</v>
      </c>
      <c r="F30" s="12">
        <v>2444</v>
      </c>
      <c r="G30" s="12">
        <v>2508</v>
      </c>
      <c r="H30" s="16">
        <f>AVERAGE(E30:G30)*1000/49350</f>
      </c>
      <c r="I30" s="6" t="s">
        <v>12</v>
      </c>
      <c r="J30" s="16">
        <v>49.99999999999999</v>
      </c>
      <c r="K30" s="17">
        <v>16792801.3847407</v>
      </c>
      <c r="L30" s="17">
        <v>9807357.792560413</v>
      </c>
      <c r="M30" s="17">
        <v>12294621.911485203</v>
      </c>
      <c r="N30" s="7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7"/>
      <c r="EI30" s="13"/>
    </row>
    <row x14ac:dyDescent="0.25" r="31" customHeight="1" ht="18">
      <c r="A31" s="15">
        <v>45376.416666666664</v>
      </c>
      <c r="B31" s="12">
        <v>5289</v>
      </c>
      <c r="C31" s="12">
        <v>6945</v>
      </c>
      <c r="D31" s="12">
        <v>5387</v>
      </c>
      <c r="E31" s="12">
        <v>2403</v>
      </c>
      <c r="F31" s="12">
        <v>2469</v>
      </c>
      <c r="G31" s="12">
        <v>2441</v>
      </c>
      <c r="H31" s="16">
        <f>AVERAGE(E31:G31)*1000/49350</f>
      </c>
      <c r="I31" s="6" t="s">
        <v>12</v>
      </c>
      <c r="J31" s="12">
        <v>150</v>
      </c>
      <c r="K31" s="17">
        <v>15956455.304985737</v>
      </c>
      <c r="L31" s="17">
        <v>20952463.999456596</v>
      </c>
      <c r="M31" s="17">
        <v>16252112.82434452</v>
      </c>
      <c r="N31" s="7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7"/>
      <c r="EI31" s="13"/>
    </row>
    <row x14ac:dyDescent="0.25" r="32" customHeight="1" ht="18">
      <c r="A32" s="15">
        <v>45376.75</v>
      </c>
      <c r="B32" s="12">
        <v>29897</v>
      </c>
      <c r="C32" s="12">
        <v>20831</v>
      </c>
      <c r="D32" s="12">
        <v>25083</v>
      </c>
      <c r="E32" s="12">
        <v>2403</v>
      </c>
      <c r="F32" s="12">
        <v>2469</v>
      </c>
      <c r="G32" s="12">
        <v>2441</v>
      </c>
      <c r="H32" s="16">
        <f>AVERAGE(E32:G32)*1000/49350</f>
      </c>
      <c r="I32" s="6" t="s">
        <v>12</v>
      </c>
      <c r="J32" s="12">
        <v>2</v>
      </c>
      <c r="K32" s="17">
        <v>1202622.1573155823</v>
      </c>
      <c r="L32" s="17">
        <v>837937.6579269122</v>
      </c>
      <c r="M32" s="17">
        <v>1008976.538513789</v>
      </c>
      <c r="N32" s="7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7"/>
      <c r="EI32" s="13"/>
    </row>
    <row x14ac:dyDescent="0.25" r="33" customHeight="1" ht="18">
      <c r="A33" s="15">
        <v>45377.416666666664</v>
      </c>
      <c r="B33" s="12">
        <v>17402</v>
      </c>
      <c r="C33" s="12">
        <v>13685</v>
      </c>
      <c r="D33" s="12">
        <v>16879</v>
      </c>
      <c r="E33" s="12">
        <v>2452</v>
      </c>
      <c r="F33" s="12">
        <v>2438</v>
      </c>
      <c r="G33" s="12">
        <v>2349</v>
      </c>
      <c r="H33" s="16">
        <f>AVERAGE(E33:G33)*1000/49350</f>
      </c>
      <c r="I33" s="6" t="s">
        <v>12</v>
      </c>
      <c r="J33" s="16">
        <v>2.9999999999999996</v>
      </c>
      <c r="K33" s="17">
        <v>1067702.4865312888</v>
      </c>
      <c r="L33" s="17">
        <v>839645.3584749275</v>
      </c>
      <c r="M33" s="17">
        <v>1035613.738085371</v>
      </c>
      <c r="N33" s="7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7"/>
      <c r="EI33" s="13"/>
    </row>
    <row x14ac:dyDescent="0.25" r="34" customHeight="1" ht="18">
      <c r="A34" s="15">
        <v>45378.416666666664</v>
      </c>
      <c r="B34" s="12">
        <v>4677</v>
      </c>
      <c r="C34" s="12">
        <v>3130</v>
      </c>
      <c r="D34" s="12">
        <v>3760</v>
      </c>
      <c r="E34" s="12">
        <v>2590</v>
      </c>
      <c r="F34" s="12">
        <v>2598</v>
      </c>
      <c r="G34" s="12">
        <v>2611</v>
      </c>
      <c r="H34" s="16">
        <f>AVERAGE(E34:G34)*1000/49350</f>
      </c>
      <c r="I34" s="6" t="s">
        <v>12</v>
      </c>
      <c r="J34" s="12">
        <v>15</v>
      </c>
      <c r="K34" s="17">
        <v>1331766.6046929094</v>
      </c>
      <c r="L34" s="17">
        <v>891261.3796640596</v>
      </c>
      <c r="M34" s="17">
        <v>1070652.647775356</v>
      </c>
      <c r="N34" s="7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7"/>
      <c r="EI34" s="13"/>
    </row>
    <row x14ac:dyDescent="0.25" r="35" customHeight="1" ht="18">
      <c r="A35" s="15">
        <v>45379.416666666664</v>
      </c>
      <c r="B35" s="12">
        <v>5326</v>
      </c>
      <c r="C35" s="12">
        <v>3917</v>
      </c>
      <c r="D35" s="12">
        <v>4870</v>
      </c>
      <c r="E35" s="12">
        <v>2404</v>
      </c>
      <c r="F35" s="12">
        <v>2371</v>
      </c>
      <c r="G35" s="12">
        <v>2397</v>
      </c>
      <c r="H35" s="16">
        <f>AVERAGE(E35:G35)*1000/49350</f>
      </c>
      <c r="I35" s="6" t="s">
        <v>12</v>
      </c>
      <c r="J35" s="12">
        <v>15</v>
      </c>
      <c r="K35" s="17">
        <v>1649151.4919129952</v>
      </c>
      <c r="L35" s="17">
        <v>1212866.3901282768</v>
      </c>
      <c r="M35" s="17">
        <v>1507954.8940323482</v>
      </c>
      <c r="N35" s="7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7"/>
      <c r="EI35" s="13"/>
    </row>
    <row x14ac:dyDescent="0.25" r="36" customHeight="1" ht="18">
      <c r="A36" s="15">
        <v>45380.416666666664</v>
      </c>
      <c r="B36" s="12">
        <v>6083</v>
      </c>
      <c r="C36" s="12">
        <v>4355</v>
      </c>
      <c r="D36" s="12">
        <v>5172</v>
      </c>
      <c r="E36" s="12">
        <v>2296</v>
      </c>
      <c r="F36" s="12">
        <v>2251</v>
      </c>
      <c r="G36" s="12">
        <v>2385</v>
      </c>
      <c r="H36" s="16">
        <f>AVERAGE(E36:G36)*1000/49350</f>
      </c>
      <c r="I36" s="6" t="s">
        <v>12</v>
      </c>
      <c r="J36" s="12">
        <v>15</v>
      </c>
      <c r="K36" s="17">
        <v>1948762.5865551068</v>
      </c>
      <c r="L36" s="17">
        <v>1395176.8969994232</v>
      </c>
      <c r="M36" s="17">
        <v>1656912.7236006926</v>
      </c>
      <c r="N36" s="7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7"/>
      <c r="EI36" s="13"/>
    </row>
    <row x14ac:dyDescent="0.25" r="37" customHeight="1" ht="18">
      <c r="A37" s="15">
        <v>45384.416666666664</v>
      </c>
      <c r="B37" s="12">
        <v>3266</v>
      </c>
      <c r="C37" s="12">
        <v>2732</v>
      </c>
      <c r="D37" s="12">
        <v>2743</v>
      </c>
      <c r="E37" s="12">
        <v>2484</v>
      </c>
      <c r="F37" s="12">
        <v>2546</v>
      </c>
      <c r="G37" s="12">
        <v>2502</v>
      </c>
      <c r="H37" s="16">
        <f>AVERAGE(E37:G37)*1000/49350</f>
      </c>
      <c r="I37" s="6" t="s">
        <v>12</v>
      </c>
      <c r="J37" s="12">
        <v>50</v>
      </c>
      <c r="K37" s="17">
        <v>3487675.2740911716</v>
      </c>
      <c r="L37" s="17">
        <v>2917430.755914599</v>
      </c>
      <c r="M37" s="17">
        <v>2929177.3658395847</v>
      </c>
      <c r="N37" s="7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7"/>
      <c r="EI37" s="13"/>
    </row>
    <row x14ac:dyDescent="0.25" r="38" customHeight="1" ht="18">
      <c r="A38" s="15">
        <v>45385.416666666664</v>
      </c>
      <c r="B38" s="12">
        <v>1858</v>
      </c>
      <c r="C38" s="12">
        <v>861</v>
      </c>
      <c r="D38" s="12">
        <v>1390</v>
      </c>
      <c r="E38" s="12">
        <v>2465</v>
      </c>
      <c r="F38" s="12">
        <v>2489</v>
      </c>
      <c r="G38" s="12">
        <v>2469</v>
      </c>
      <c r="H38" s="16">
        <f>AVERAGE(E38:G38)*1000/49350</f>
      </c>
      <c r="I38" s="6" t="s">
        <v>12</v>
      </c>
      <c r="J38" s="12">
        <v>100</v>
      </c>
      <c r="K38" s="17">
        <v>3652109.6654275097</v>
      </c>
      <c r="L38" s="17">
        <v>1692393.12267658</v>
      </c>
      <c r="M38" s="17">
        <v>2732202.602230483</v>
      </c>
      <c r="N38" s="7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7"/>
      <c r="EI38" s="13"/>
    </row>
    <row x14ac:dyDescent="0.25" r="39" customHeight="1" ht="18">
      <c r="A39" s="15">
        <v>45386.416666666664</v>
      </c>
      <c r="B39" s="12">
        <v>2843</v>
      </c>
      <c r="C39" s="12">
        <v>2098</v>
      </c>
      <c r="D39" s="12">
        <v>2235</v>
      </c>
      <c r="E39" s="12">
        <v>2485</v>
      </c>
      <c r="F39" s="12">
        <v>2609</v>
      </c>
      <c r="G39" s="12">
        <v>2573</v>
      </c>
      <c r="H39" s="16">
        <f>AVERAGE(E39:G39)*1000/49350</f>
      </c>
      <c r="I39" s="6" t="s">
        <v>12</v>
      </c>
      <c r="J39" s="12">
        <v>50</v>
      </c>
      <c r="K39" s="17">
        <v>2835148.5248551797</v>
      </c>
      <c r="L39" s="17">
        <v>2092205.9814091336</v>
      </c>
      <c r="M39" s="17">
        <v>2228827.630338138</v>
      </c>
      <c r="N39" s="7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7"/>
      <c r="EI39" s="13"/>
    </row>
    <row x14ac:dyDescent="0.25" r="40" customHeight="1" ht="18">
      <c r="A40" s="15">
        <v>45387.416666666664</v>
      </c>
      <c r="B40" s="12">
        <v>2933</v>
      </c>
      <c r="C40" s="12">
        <v>2196</v>
      </c>
      <c r="D40" s="12">
        <v>2729</v>
      </c>
      <c r="E40" s="12">
        <v>2367</v>
      </c>
      <c r="F40" s="12">
        <v>2336</v>
      </c>
      <c r="G40" s="12">
        <v>2224</v>
      </c>
      <c r="H40" s="16">
        <f>AVERAGE(E40:G40)*1000/49350</f>
      </c>
      <c r="I40" s="6" t="s">
        <v>12</v>
      </c>
      <c r="J40" s="12">
        <v>50</v>
      </c>
      <c r="K40" s="17">
        <v>2831815.8993087257</v>
      </c>
      <c r="L40" s="17">
        <v>2120241.293856789</v>
      </c>
      <c r="M40" s="17">
        <v>2634853.59332203</v>
      </c>
      <c r="N40" s="7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7"/>
      <c r="EI40" s="13"/>
    </row>
    <row x14ac:dyDescent="0.25" r="41" customHeight="1" ht="18">
      <c r="A41" s="15">
        <v>45390.5</v>
      </c>
      <c r="B41" s="12">
        <v>4392</v>
      </c>
      <c r="C41" s="12">
        <v>2170</v>
      </c>
      <c r="D41" s="12">
        <v>3841</v>
      </c>
      <c r="E41" s="12">
        <v>2506</v>
      </c>
      <c r="F41" s="12">
        <v>2540</v>
      </c>
      <c r="G41" s="12">
        <v>2498</v>
      </c>
      <c r="H41" s="16">
        <f>AVERAGE(E41:G41)*1000/49350</f>
      </c>
      <c r="I41" s="6" t="s">
        <v>12</v>
      </c>
      <c r="J41" s="12">
        <v>50</v>
      </c>
      <c r="K41" s="17">
        <v>4693486.35773062</v>
      </c>
      <c r="L41" s="17">
        <v>2318958.423559983</v>
      </c>
      <c r="M41" s="17">
        <v>4104663.2741446514</v>
      </c>
      <c r="N41" s="7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7"/>
      <c r="EI41" s="13"/>
    </row>
    <row x14ac:dyDescent="0.25" r="42" customHeight="1" ht="18">
      <c r="A42" s="15">
        <v>45391.416666666664</v>
      </c>
      <c r="B42" s="12">
        <v>3050</v>
      </c>
      <c r="C42" s="12">
        <v>1572</v>
      </c>
      <c r="D42" s="12">
        <v>3304</v>
      </c>
      <c r="E42" s="12">
        <v>2548</v>
      </c>
      <c r="F42" s="12">
        <v>2639</v>
      </c>
      <c r="G42" s="12">
        <v>2480</v>
      </c>
      <c r="H42" s="16">
        <f>AVERAGE(E42:G42)*1000/49350</f>
      </c>
      <c r="I42" s="6" t="s">
        <v>12</v>
      </c>
      <c r="J42" s="12">
        <v>100</v>
      </c>
      <c r="K42" s="17">
        <v>6518731.052403638</v>
      </c>
      <c r="L42" s="17">
        <v>3359818.103074924</v>
      </c>
      <c r="M42" s="17">
        <v>7061602.4252923345</v>
      </c>
      <c r="N42" s="7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7"/>
      <c r="EI42" s="13"/>
    </row>
    <row x14ac:dyDescent="0.25" r="43" customHeight="1" ht="18">
      <c r="A43" s="15">
        <v>45392.583333333336</v>
      </c>
      <c r="B43" s="12">
        <v>9117</v>
      </c>
      <c r="C43" s="12">
        <v>8773</v>
      </c>
      <c r="D43" s="12">
        <v>8238</v>
      </c>
      <c r="E43" s="12">
        <v>2465</v>
      </c>
      <c r="F43" s="12">
        <v>2631</v>
      </c>
      <c r="G43" s="12">
        <v>2504</v>
      </c>
      <c r="H43" s="16">
        <f>AVERAGE(E43:G43)*1000/49350</f>
      </c>
      <c r="I43" s="6" t="s">
        <v>12</v>
      </c>
      <c r="J43" s="12">
        <v>100</v>
      </c>
      <c r="K43" s="17">
        <v>17604954.34981088</v>
      </c>
      <c r="L43" s="17">
        <v>16940689.317855746</v>
      </c>
      <c r="M43" s="17">
        <v>15907602.712925525</v>
      </c>
      <c r="N43" s="7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7"/>
      <c r="EI43" s="13"/>
    </row>
    <row x14ac:dyDescent="0.25" r="44" customHeight="1" ht="18">
      <c r="A44" s="15">
        <v>45393.416666666664</v>
      </c>
      <c r="B44" s="12">
        <v>3461</v>
      </c>
      <c r="C44" s="12">
        <v>4343</v>
      </c>
      <c r="D44" s="12">
        <v>4032</v>
      </c>
      <c r="E44" s="12">
        <v>2594</v>
      </c>
      <c r="F44" s="12">
        <v>2493</v>
      </c>
      <c r="G44" s="12">
        <v>2595</v>
      </c>
      <c r="H44" s="16">
        <f>AVERAGE(E44:G44)*1000/49350</f>
      </c>
      <c r="I44" s="6" t="s">
        <v>12</v>
      </c>
      <c r="J44" s="12">
        <v>100</v>
      </c>
      <c r="K44" s="17">
        <v>6670151.653215309</v>
      </c>
      <c r="L44" s="17">
        <v>8369970.710752408</v>
      </c>
      <c r="M44" s="17">
        <v>7770601.405883885</v>
      </c>
      <c r="N44" s="7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7"/>
      <c r="EI44" s="13"/>
    </row>
    <row x14ac:dyDescent="0.25" r="45" customHeight="1" ht="18">
      <c r="A45" s="15">
        <v>45394.416666666664</v>
      </c>
      <c r="B45" s="12">
        <v>8464</v>
      </c>
      <c r="C45" s="12">
        <v>6284</v>
      </c>
      <c r="D45" s="12">
        <v>7602</v>
      </c>
      <c r="E45" s="12">
        <v>2480</v>
      </c>
      <c r="F45" s="12">
        <v>2453</v>
      </c>
      <c r="G45" s="12">
        <v>2450</v>
      </c>
      <c r="H45" s="16">
        <f>AVERAGE(E45:G45)*1000/49350</f>
      </c>
      <c r="I45" s="6" t="s">
        <v>12</v>
      </c>
      <c r="J45" s="12">
        <v>100</v>
      </c>
      <c r="K45" s="17">
        <v>16972710.28037383</v>
      </c>
      <c r="L45" s="17">
        <v>12601194.636326695</v>
      </c>
      <c r="M45" s="17">
        <v>15244156.846810238</v>
      </c>
      <c r="N45" s="7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7"/>
      <c r="EI45" s="13"/>
    </row>
    <row x14ac:dyDescent="0.25" r="46" customHeight="1" ht="18">
      <c r="A46" s="15">
        <v>45397.416666666664</v>
      </c>
      <c r="B46" s="12">
        <v>10527</v>
      </c>
      <c r="C46" s="12">
        <v>7714</v>
      </c>
      <c r="D46" s="12">
        <v>7231</v>
      </c>
      <c r="E46" s="12">
        <v>2444</v>
      </c>
      <c r="F46" s="12">
        <v>2483</v>
      </c>
      <c r="G46" s="12">
        <v>2483</v>
      </c>
      <c r="H46" s="16">
        <f>AVERAGE(E46:G46)*1000/49350</f>
      </c>
      <c r="I46" s="6" t="s">
        <v>12</v>
      </c>
      <c r="J46" s="12">
        <v>100</v>
      </c>
      <c r="K46" s="17">
        <v>21032690.28340081</v>
      </c>
      <c r="L46" s="17">
        <v>15412384.615384616</v>
      </c>
      <c r="M46" s="17">
        <v>14447362.348178139</v>
      </c>
      <c r="N46" s="7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7"/>
      <c r="EI46" s="13"/>
    </row>
    <row x14ac:dyDescent="0.25" r="47" customHeight="1" ht="18">
      <c r="A47" s="15">
        <v>45398.416666666664</v>
      </c>
      <c r="B47" s="12">
        <v>9606</v>
      </c>
      <c r="C47" s="12">
        <v>7913</v>
      </c>
      <c r="D47" s="12">
        <v>6597</v>
      </c>
      <c r="E47" s="12">
        <v>2507</v>
      </c>
      <c r="F47" s="12">
        <v>2499</v>
      </c>
      <c r="G47" s="12">
        <v>2561</v>
      </c>
      <c r="H47" s="16">
        <f>AVERAGE(E47:G47)*1000/49350</f>
      </c>
      <c r="I47" s="6" t="s">
        <v>12</v>
      </c>
      <c r="J47" s="16">
        <v>100.00000000000001</v>
      </c>
      <c r="K47" s="17">
        <v>18794347.826086957</v>
      </c>
      <c r="L47" s="17">
        <v>15481956.521739129</v>
      </c>
      <c r="M47" s="17">
        <v>12907173.913043477</v>
      </c>
      <c r="N47" s="7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7"/>
      <c r="EI47" s="13"/>
    </row>
    <row x14ac:dyDescent="0.25" r="48" customHeight="1" ht="18">
      <c r="A48" s="15">
        <v>45398.625</v>
      </c>
      <c r="B48" s="12">
        <v>36097</v>
      </c>
      <c r="C48" s="12">
        <v>26993</v>
      </c>
      <c r="D48" s="12">
        <v>35536</v>
      </c>
      <c r="E48" s="12">
        <v>2507</v>
      </c>
      <c r="F48" s="12">
        <v>2499</v>
      </c>
      <c r="G48" s="12">
        <v>2561</v>
      </c>
      <c r="H48" s="16">
        <f>AVERAGE(E48:G48)*1000/49350</f>
      </c>
      <c r="I48" s="6" t="s">
        <v>12</v>
      </c>
      <c r="J48" s="12">
        <v>2</v>
      </c>
      <c r="K48" s="17">
        <v>1412491.304347826</v>
      </c>
      <c r="L48" s="17">
        <v>1056247.8260869565</v>
      </c>
      <c r="M48" s="17">
        <v>1390539.1304347825</v>
      </c>
      <c r="N48" s="7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7"/>
      <c r="EI48" s="13"/>
    </row>
    <row x14ac:dyDescent="0.25" r="49" customHeight="1" ht="18">
      <c r="A49" s="15">
        <v>45399.416666666664</v>
      </c>
      <c r="B49" s="12">
        <v>11274</v>
      </c>
      <c r="C49" s="12">
        <v>10274</v>
      </c>
      <c r="D49" s="12">
        <v>12105</v>
      </c>
      <c r="E49" s="12">
        <v>2568</v>
      </c>
      <c r="F49" s="12">
        <v>2595</v>
      </c>
      <c r="G49" s="12">
        <v>2645</v>
      </c>
      <c r="H49" s="16">
        <f>AVERAGE(E49:G49)*1000/49350</f>
      </c>
      <c r="I49" s="6" t="s">
        <v>12</v>
      </c>
      <c r="J49" s="16">
        <v>4.999999999999999</v>
      </c>
      <c r="K49" s="17">
        <v>1068849.705430328</v>
      </c>
      <c r="L49" s="17">
        <v>974043.0968237706</v>
      </c>
      <c r="M49" s="17">
        <v>1147633.9971823771</v>
      </c>
      <c r="N49" s="7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7"/>
      <c r="EI49" s="13"/>
    </row>
    <row x14ac:dyDescent="0.25" r="50" customHeight="1" ht="18">
      <c r="A50" s="15">
        <v>45400.416666666664</v>
      </c>
      <c r="B50" s="12">
        <v>4515</v>
      </c>
      <c r="C50" s="12">
        <v>4058</v>
      </c>
      <c r="D50" s="12">
        <v>4623</v>
      </c>
      <c r="E50" s="12">
        <v>2330</v>
      </c>
      <c r="F50" s="12">
        <v>2438</v>
      </c>
      <c r="G50" s="12">
        <v>2470</v>
      </c>
      <c r="H50" s="16">
        <f>AVERAGE(E50:G50)*1000/49350</f>
      </c>
      <c r="I50" s="6" t="s">
        <v>12</v>
      </c>
      <c r="J50" s="12">
        <v>15</v>
      </c>
      <c r="K50" s="17">
        <v>1385284.090909091</v>
      </c>
      <c r="L50" s="17">
        <v>1245068.1818181819</v>
      </c>
      <c r="M50" s="17">
        <v>1418420.4545454546</v>
      </c>
      <c r="N50" s="7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7"/>
      <c r="EI50" s="13"/>
    </row>
    <row x14ac:dyDescent="0.25" r="51" customHeight="1" ht="18">
      <c r="A51" s="15">
        <v>45401.416666666664</v>
      </c>
      <c r="B51" s="12">
        <v>5043</v>
      </c>
      <c r="C51" s="12">
        <v>4485</v>
      </c>
      <c r="D51" s="12">
        <v>5124</v>
      </c>
      <c r="E51" s="12">
        <v>2601</v>
      </c>
      <c r="F51" s="12">
        <v>2463</v>
      </c>
      <c r="G51" s="12">
        <v>2541</v>
      </c>
      <c r="H51" s="16">
        <f>AVERAGE(E51:G51)*1000/49350</f>
      </c>
      <c r="I51" s="6" t="s">
        <v>12</v>
      </c>
      <c r="J51" s="12">
        <v>15</v>
      </c>
      <c r="K51" s="17">
        <v>1472615.6804733728</v>
      </c>
      <c r="L51" s="17">
        <v>1309673.076923077</v>
      </c>
      <c r="M51" s="17">
        <v>1496268.6390532546</v>
      </c>
      <c r="N51" s="7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7"/>
      <c r="EI51" s="13"/>
    </row>
    <row x14ac:dyDescent="0.25" r="52" customHeight="1" ht="18">
      <c r="A52" s="15">
        <v>45404.416666666664</v>
      </c>
      <c r="B52" s="12">
        <v>1003</v>
      </c>
      <c r="C52" s="12">
        <v>1061</v>
      </c>
      <c r="D52" s="12">
        <v>1277</v>
      </c>
      <c r="E52" s="12">
        <v>2559</v>
      </c>
      <c r="F52" s="12">
        <v>2540</v>
      </c>
      <c r="G52" s="12">
        <v>2547</v>
      </c>
      <c r="H52" s="16">
        <f>AVERAGE(E52:G52)*1000/49350</f>
      </c>
      <c r="I52" s="6" t="s">
        <v>12</v>
      </c>
      <c r="J52" s="12">
        <v>100</v>
      </c>
      <c r="K52" s="17">
        <v>1942115.4852210307</v>
      </c>
      <c r="L52" s="17">
        <v>2054421.2660214491</v>
      </c>
      <c r="M52" s="17">
        <v>2472663.484174732</v>
      </c>
      <c r="N52" s="7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7"/>
      <c r="EI52" s="13"/>
    </row>
    <row x14ac:dyDescent="0.25" r="53" customHeight="1" ht="18">
      <c r="A53" s="15">
        <v>45405.416666666664</v>
      </c>
      <c r="B53" s="12">
        <v>2922</v>
      </c>
      <c r="C53" s="12">
        <v>2659</v>
      </c>
      <c r="D53" s="12">
        <v>2505</v>
      </c>
      <c r="E53" s="12">
        <v>2494</v>
      </c>
      <c r="F53" s="12">
        <v>2590</v>
      </c>
      <c r="G53" s="12">
        <v>2532</v>
      </c>
      <c r="H53" s="16">
        <f>AVERAGE(E53:G53)*1000/49350</f>
      </c>
      <c r="I53" s="6" t="s">
        <v>12</v>
      </c>
      <c r="J53" s="12">
        <v>50</v>
      </c>
      <c r="K53" s="17">
        <v>2840087.316176471</v>
      </c>
      <c r="L53" s="17">
        <v>2584460.0183823532</v>
      </c>
      <c r="M53" s="17">
        <v>2434777.1139705884</v>
      </c>
      <c r="N53" s="7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7"/>
      <c r="EI53" s="13"/>
    </row>
    <row x14ac:dyDescent="0.25" r="54" customHeight="1" ht="18">
      <c r="A54" s="15">
        <v>45406.416666666664</v>
      </c>
      <c r="B54" s="12">
        <v>2884</v>
      </c>
      <c r="C54" s="12">
        <v>2816</v>
      </c>
      <c r="D54" s="12">
        <v>2701</v>
      </c>
      <c r="E54" s="12">
        <v>2663</v>
      </c>
      <c r="F54" s="12">
        <v>2506</v>
      </c>
      <c r="G54" s="12">
        <v>2654</v>
      </c>
      <c r="H54" s="16">
        <f>AVERAGE(E54:G54)*1000/49350</f>
      </c>
      <c r="I54" s="6" t="s">
        <v>12</v>
      </c>
      <c r="J54" s="12">
        <v>50</v>
      </c>
      <c r="K54" s="17">
        <v>2728979.9309727727</v>
      </c>
      <c r="L54" s="17">
        <v>2664635.0504921386</v>
      </c>
      <c r="M54" s="17">
        <v>2555816.502620478</v>
      </c>
      <c r="N54" s="7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7"/>
      <c r="EI54" s="13"/>
    </row>
    <row x14ac:dyDescent="0.25" r="55" customHeight="1" ht="18">
      <c r="A55" s="15">
        <v>45407.416666666664</v>
      </c>
      <c r="B55" s="12">
        <v>3888</v>
      </c>
      <c r="C55" s="12">
        <v>2985</v>
      </c>
      <c r="D55" s="12">
        <v>3877</v>
      </c>
      <c r="E55" s="12">
        <v>2594</v>
      </c>
      <c r="F55" s="12">
        <v>2579</v>
      </c>
      <c r="G55" s="12">
        <v>2617</v>
      </c>
      <c r="H55" s="16">
        <f>AVERAGE(E55:G55)*1000/49350</f>
      </c>
      <c r="I55" s="6" t="s">
        <v>12</v>
      </c>
      <c r="J55" s="12">
        <v>50</v>
      </c>
      <c r="K55" s="17">
        <v>3694598.2028241334</v>
      </c>
      <c r="L55" s="17">
        <v>2836516.3671373557</v>
      </c>
      <c r="M55" s="17">
        <v>3684145.3786906293</v>
      </c>
      <c r="N55" s="7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7"/>
      <c r="EI55" s="13"/>
    </row>
    <row x14ac:dyDescent="0.25" r="56" customHeight="1" ht="18">
      <c r="A56" s="15">
        <v>45408.416666666664</v>
      </c>
      <c r="B56" s="12">
        <v>4192</v>
      </c>
      <c r="C56" s="12">
        <v>3737</v>
      </c>
      <c r="D56" s="12">
        <v>3720</v>
      </c>
      <c r="E56" s="12">
        <v>2640</v>
      </c>
      <c r="F56" s="12">
        <v>2555</v>
      </c>
      <c r="G56" s="12">
        <v>2551</v>
      </c>
      <c r="H56" s="16">
        <f>AVERAGE(E56:G56)*1000/49350</f>
      </c>
      <c r="I56" s="6" t="s">
        <v>12</v>
      </c>
      <c r="J56" s="12">
        <v>50</v>
      </c>
      <c r="K56" s="17">
        <v>4006103.7955073584</v>
      </c>
      <c r="L56" s="17">
        <v>3571280.98373354</v>
      </c>
      <c r="M56" s="17">
        <v>3555034.8567002323</v>
      </c>
      <c r="N56" s="7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7"/>
      <c r="EI56" s="13"/>
    </row>
  </sheetData>
  <mergeCells count="3">
    <mergeCell ref="A1:M1"/>
    <mergeCell ref="B2:D2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X59"/>
  <sheetViews>
    <sheetView workbookViewId="0"/>
  </sheetViews>
  <sheetFormatPr defaultRowHeight="15" x14ac:dyDescent="0.25"/>
  <cols>
    <col min="1" max="1" style="21" width="18.005" customWidth="1" bestFit="1"/>
    <col min="2" max="2" style="42" width="11.719285714285713" customWidth="1" bestFit="1"/>
    <col min="3" max="3" style="42" width="11.719285714285713" customWidth="1" bestFit="1"/>
    <col min="4" max="4" style="42" width="11.719285714285713" customWidth="1" bestFit="1"/>
    <col min="5" max="5" style="42" width="11.719285714285713" customWidth="1" bestFit="1"/>
    <col min="6" max="6" style="42" width="11.719285714285713" customWidth="1" bestFit="1"/>
    <col min="7" max="7" style="42" width="11.719285714285713" customWidth="1" bestFit="1"/>
    <col min="8" max="8" style="43" width="12.005" customWidth="1" bestFit="1"/>
    <col min="9" max="9" style="23" width="13.005" customWidth="1" bestFit="1"/>
    <col min="10" max="10" style="44" width="11.719285714285713" customWidth="1" bestFit="1"/>
    <col min="11" max="11" style="45" width="11.719285714285713" customWidth="1" bestFit="1"/>
    <col min="12" max="12" style="45" width="11.719285714285713" customWidth="1" bestFit="1"/>
    <col min="13" max="13" style="45" width="11.719285714285713" customWidth="1" bestFit="1"/>
    <col min="14" max="14" style="20" width="11.862142857142858" customWidth="1" bestFit="1"/>
    <col min="15" max="15" style="23" width="13.005" customWidth="1" bestFit="1"/>
    <col min="16" max="16" style="23" width="13.005" customWidth="1" bestFit="1"/>
    <col min="17" max="17" style="23" width="13.005" customWidth="1" bestFit="1"/>
    <col min="18" max="18" style="23" width="13.005" customWidth="1" bestFit="1"/>
    <col min="19" max="19" style="23" width="11.719285714285713" customWidth="1" bestFit="1"/>
    <col min="20" max="20" style="23" width="12.147857142857141" customWidth="1" bestFit="1"/>
    <col min="21" max="21" style="23" width="13.005" customWidth="1" bestFit="1"/>
    <col min="22" max="22" style="23" width="11.719285714285713" customWidth="1" bestFit="1"/>
    <col min="23" max="23" style="23" width="12.147857142857141" customWidth="1" bestFit="1"/>
    <col min="24" max="24" style="23" width="13.005" customWidth="1" bestFit="1"/>
    <col min="25" max="25" style="23" width="11.719285714285713" customWidth="1" bestFit="1"/>
    <col min="26" max="26" style="23" width="12.005" customWidth="1" bestFit="1"/>
    <col min="27" max="27" style="23" width="13.005" customWidth="1" bestFit="1"/>
    <col min="28" max="28" style="23" width="11.576428571428572" customWidth="1" bestFit="1"/>
    <col min="29" max="29" style="23" width="12.005" customWidth="1" bestFit="1"/>
    <col min="30" max="30" style="23" width="13.005" customWidth="1" bestFit="1"/>
    <col min="31" max="31" style="23" width="11.576428571428572" customWidth="1" bestFit="1"/>
    <col min="32" max="32" style="23" width="12.005" customWidth="1" bestFit="1"/>
    <col min="33" max="33" style="23" width="13.005" customWidth="1" bestFit="1"/>
    <col min="34" max="34" style="23" width="11.576428571428572" customWidth="1" bestFit="1"/>
    <col min="35" max="35" style="23" width="12.005" customWidth="1" bestFit="1"/>
    <col min="36" max="36" style="23" width="13.005" customWidth="1" bestFit="1"/>
    <col min="37" max="37" style="23" width="11.576428571428572" customWidth="1" bestFit="1"/>
    <col min="38" max="38" style="23" width="12.005" customWidth="1" bestFit="1"/>
    <col min="39" max="39" style="23" width="13.005" customWidth="1" bestFit="1"/>
    <col min="40" max="40" style="23" width="11.576428571428572" customWidth="1" bestFit="1"/>
    <col min="41" max="41" style="23" width="12.005" customWidth="1" bestFit="1"/>
    <col min="42" max="42" style="23" width="13.005" customWidth="1" bestFit="1"/>
    <col min="43" max="43" style="23" width="11.576428571428572" customWidth="1" bestFit="1"/>
    <col min="44" max="44" style="23" width="12.005" customWidth="1" bestFit="1"/>
    <col min="45" max="45" style="23" width="11.576428571428572" customWidth="1" bestFit="1"/>
    <col min="46" max="46" style="23" width="12.005" customWidth="1" bestFit="1"/>
    <col min="47" max="47" style="23" width="11.576428571428572" customWidth="1" bestFit="1"/>
    <col min="48" max="48" style="23" width="11.576428571428572" customWidth="1" bestFit="1"/>
    <col min="49" max="49" style="23" width="12.005" customWidth="1" bestFit="1"/>
    <col min="50" max="50" style="23" width="12.005" customWidth="1" bestFit="1"/>
    <col min="51" max="51" style="23" width="12.005" customWidth="1" bestFit="1"/>
    <col min="52" max="52" style="23" width="11.576428571428572" customWidth="1" bestFit="1"/>
    <col min="53" max="53" style="23" width="12.005" customWidth="1" bestFit="1"/>
    <col min="54" max="54" style="23" width="12.005" customWidth="1" bestFit="1"/>
    <col min="55" max="55" style="23" width="11.576428571428572" customWidth="1" bestFit="1"/>
    <col min="56" max="56" style="23" width="12.147857142857141" customWidth="1" bestFit="1"/>
    <col min="57" max="57" style="23" width="13.005" customWidth="1" bestFit="1"/>
    <col min="58" max="58" style="23" width="11.719285714285713" customWidth="1" bestFit="1"/>
    <col min="59" max="59" style="23" width="12.147857142857141" customWidth="1" bestFit="1"/>
    <col min="60" max="60" style="23" width="11.719285714285713" customWidth="1" bestFit="1"/>
    <col min="61" max="61" style="23" width="12.147857142857141" customWidth="1" bestFit="1"/>
    <col min="62" max="62" style="23" width="12.005" customWidth="1" bestFit="1"/>
    <col min="63" max="63" style="23" width="11.719285714285713" customWidth="1" bestFit="1"/>
    <col min="64" max="64" style="23" width="12.147857142857141" customWidth="1" bestFit="1"/>
    <col min="65" max="65" style="23" width="12.005" customWidth="1" bestFit="1"/>
    <col min="66" max="66" style="23" width="13.005" customWidth="1" bestFit="1"/>
    <col min="67" max="67" style="23" width="13.005" customWidth="1" bestFit="1"/>
    <col min="68" max="68" style="23" width="13.005" customWidth="1" bestFit="1"/>
    <col min="69" max="69" style="23" width="13.005" customWidth="1" bestFit="1"/>
    <col min="70" max="70" style="23" width="13.005" customWidth="1" bestFit="1"/>
    <col min="71" max="71" style="23" width="13.005" customWidth="1" bestFit="1"/>
    <col min="72" max="72" style="23" width="13.005" customWidth="1" bestFit="1"/>
    <col min="73" max="73" style="23" width="11.576428571428572" customWidth="1" bestFit="1"/>
    <col min="74" max="74" style="23" width="12.005" customWidth="1" bestFit="1"/>
    <col min="75" max="75" style="23" width="11.576428571428572" customWidth="1" bestFit="1"/>
    <col min="76" max="76" style="23" width="12.005" customWidth="1" bestFit="1"/>
    <col min="77" max="77" style="23" width="12.005" customWidth="1" bestFit="1"/>
    <col min="78" max="78" style="23" width="11.576428571428572" customWidth="1" bestFit="1"/>
    <col min="79" max="79" style="23" width="12.005" customWidth="1" bestFit="1"/>
    <col min="80" max="80" style="23" width="12.005" customWidth="1" bestFit="1"/>
    <col min="81" max="81" style="23" width="12.005" customWidth="1" bestFit="1"/>
    <col min="82" max="82" style="23" width="11.576428571428572" customWidth="1" bestFit="1"/>
    <col min="83" max="83" style="23" width="11.576428571428572" customWidth="1" bestFit="1"/>
    <col min="84" max="84" style="23" width="12.005" customWidth="1" bestFit="1"/>
    <col min="85" max="85" style="23" width="11.576428571428572" customWidth="1" bestFit="1"/>
    <col min="86" max="86" style="23" width="12.005" customWidth="1" bestFit="1"/>
    <col min="87" max="87" style="23" width="13.005" customWidth="1" bestFit="1"/>
    <col min="88" max="88" style="23" width="13.005" customWidth="1" bestFit="1"/>
    <col min="89" max="89" style="23" width="13.005" customWidth="1" bestFit="1"/>
    <col min="90" max="90" style="23" width="13.005" customWidth="1" bestFit="1"/>
    <col min="91" max="91" style="23" width="13.005" customWidth="1" bestFit="1"/>
    <col min="92" max="92" style="23" width="13.005" customWidth="1" bestFit="1"/>
    <col min="93" max="93" style="23" width="13.005" customWidth="1" bestFit="1"/>
    <col min="94" max="94" style="23" width="13.005" customWidth="1" bestFit="1"/>
    <col min="95" max="95" style="23" width="13.005" customWidth="1" bestFit="1"/>
    <col min="96" max="96" style="23" width="13.005" customWidth="1" bestFit="1"/>
    <col min="97" max="97" style="23" width="13.005" customWidth="1" bestFit="1"/>
    <col min="98" max="98" style="23" width="13.005" customWidth="1" bestFit="1"/>
    <col min="99" max="99" style="23" width="13.005" customWidth="1" bestFit="1"/>
    <col min="100" max="100" style="23" width="13.005" customWidth="1" bestFit="1"/>
    <col min="101" max="101" style="23" width="13.005" customWidth="1" bestFit="1"/>
    <col min="102" max="102" style="23" width="13.005" customWidth="1" bestFit="1"/>
  </cols>
  <sheetData>
    <row x14ac:dyDescent="0.25" r="1" customHeight="1" ht="18">
      <c r="A1" s="26" t="s">
        <v>96</v>
      </c>
      <c r="B1" s="25"/>
      <c r="C1" s="25"/>
      <c r="D1" s="25"/>
      <c r="E1" s="25"/>
      <c r="F1" s="25"/>
      <c r="G1" s="25"/>
      <c r="H1" s="27"/>
      <c r="I1" s="28"/>
      <c r="J1" s="26"/>
      <c r="K1" s="29"/>
      <c r="L1" s="29"/>
      <c r="M1" s="29"/>
      <c r="N1" s="25"/>
      <c r="O1" s="28"/>
      <c r="P1" s="28"/>
      <c r="Q1" s="28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</row>
    <row x14ac:dyDescent="0.25" r="2" customHeight="1" ht="18">
      <c r="A2" s="8" t="s">
        <v>2</v>
      </c>
      <c r="B2" s="9" t="s">
        <v>3</v>
      </c>
      <c r="C2" s="9"/>
      <c r="D2" s="9"/>
      <c r="E2" s="9" t="s">
        <v>4</v>
      </c>
      <c r="F2" s="9"/>
      <c r="G2" s="9"/>
      <c r="H2" s="10"/>
      <c r="I2" s="6" t="s">
        <v>5</v>
      </c>
      <c r="J2" s="37" t="s">
        <v>6</v>
      </c>
      <c r="K2" s="38" t="s">
        <v>7</v>
      </c>
      <c r="L2" s="38"/>
      <c r="M2" s="38"/>
      <c r="N2" s="7" t="s">
        <v>18</v>
      </c>
      <c r="O2" s="6" t="s">
        <v>19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</row>
    <row x14ac:dyDescent="0.25" r="3" customHeight="1" ht="18">
      <c r="A3" s="8"/>
      <c r="B3" s="39" t="s">
        <v>8</v>
      </c>
      <c r="C3" s="39" t="s">
        <v>9</v>
      </c>
      <c r="D3" s="39" t="s">
        <v>10</v>
      </c>
      <c r="E3" s="12">
        <v>1</v>
      </c>
      <c r="F3" s="12">
        <v>2</v>
      </c>
      <c r="G3" s="12">
        <v>3</v>
      </c>
      <c r="H3" s="40" t="s">
        <v>11</v>
      </c>
      <c r="I3" s="6"/>
      <c r="J3" s="37"/>
      <c r="K3" s="38" t="s">
        <v>8</v>
      </c>
      <c r="L3" s="38" t="s">
        <v>9</v>
      </c>
      <c r="M3" s="38" t="s">
        <v>10</v>
      </c>
      <c r="N3" s="7"/>
      <c r="O3" s="6" t="s">
        <v>8</v>
      </c>
      <c r="P3" s="6" t="s">
        <v>9</v>
      </c>
      <c r="Q3" s="6" t="s">
        <v>10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</row>
    <row x14ac:dyDescent="0.25" r="4" customHeight="1" ht="18">
      <c r="A4" s="15">
        <v>45341.625</v>
      </c>
      <c r="B4" s="12">
        <v>51078</v>
      </c>
      <c r="C4" s="12">
        <v>55253</v>
      </c>
      <c r="D4" s="12">
        <v>53657</v>
      </c>
      <c r="E4" s="12">
        <v>2227</v>
      </c>
      <c r="F4" s="12">
        <v>2388</v>
      </c>
      <c r="G4" s="12">
        <v>2329</v>
      </c>
      <c r="H4" s="16">
        <f>AVERAGE(E4:G4)*1000/47400</f>
      </c>
      <c r="I4" s="6" t="s">
        <v>12</v>
      </c>
      <c r="J4" s="30">
        <v>1</v>
      </c>
      <c r="K4" s="17">
        <v>1045980.9331797236</v>
      </c>
      <c r="L4" s="17">
        <v>1131477.0449308755</v>
      </c>
      <c r="M4" s="17">
        <v>1098793.9804147466</v>
      </c>
      <c r="N4" s="7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x14ac:dyDescent="0.25" r="5" customHeight="1" ht="18">
      <c r="A5" s="15">
        <v>45342.395833333336</v>
      </c>
      <c r="B5" s="12">
        <v>42091</v>
      </c>
      <c r="C5" s="12">
        <v>40501</v>
      </c>
      <c r="D5" s="12">
        <v>37531</v>
      </c>
      <c r="E5" s="12">
        <v>1271</v>
      </c>
      <c r="F5" s="12">
        <v>1293</v>
      </c>
      <c r="G5" s="12">
        <v>1315</v>
      </c>
      <c r="H5" s="16">
        <f>AVERAGE(E5:G5)*1000/47400</f>
      </c>
      <c r="I5" s="6" t="s">
        <v>13</v>
      </c>
      <c r="J5" s="30">
        <v>1</v>
      </c>
      <c r="K5" s="17">
        <v>1543011.136890951</v>
      </c>
      <c r="L5" s="17">
        <v>1484723.43387471</v>
      </c>
      <c r="M5" s="17">
        <v>1375846.4037122969</v>
      </c>
      <c r="N5" s="7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</row>
    <row x14ac:dyDescent="0.25" r="6" customHeight="1" ht="18">
      <c r="A6" s="15">
        <v>45343.395833333336</v>
      </c>
      <c r="B6" s="12">
        <v>13700</v>
      </c>
      <c r="C6" s="12">
        <v>15665</v>
      </c>
      <c r="D6" s="12">
        <v>11377</v>
      </c>
      <c r="E6" s="12">
        <v>2458</v>
      </c>
      <c r="F6" s="12">
        <v>2448</v>
      </c>
      <c r="G6" s="12">
        <v>2527</v>
      </c>
      <c r="H6" s="16">
        <f>AVERAGE(E6:G6)*1000/47400</f>
      </c>
      <c r="I6" s="6" t="s">
        <v>12</v>
      </c>
      <c r="J6" s="30">
        <v>10</v>
      </c>
      <c r="K6" s="17">
        <v>2620933.6741557918</v>
      </c>
      <c r="L6" s="17">
        <v>2996855.912821203</v>
      </c>
      <c r="M6" s="17">
        <v>2176522.8037131713</v>
      </c>
      <c r="N6" s="12">
        <v>1</v>
      </c>
      <c r="O6" s="6" t="s">
        <v>85</v>
      </c>
      <c r="P6" s="6" t="s">
        <v>86</v>
      </c>
      <c r="Q6" s="6" t="s">
        <v>87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</row>
    <row x14ac:dyDescent="0.25" r="7" customHeight="1" ht="18">
      <c r="A7" s="15">
        <v>45344.395833333336</v>
      </c>
      <c r="B7" s="12">
        <v>26896</v>
      </c>
      <c r="C7" s="12">
        <v>29338</v>
      </c>
      <c r="D7" s="12">
        <v>24623</v>
      </c>
      <c r="E7" s="12">
        <v>2632</v>
      </c>
      <c r="F7" s="12">
        <v>2515</v>
      </c>
      <c r="G7" s="12">
        <v>2523</v>
      </c>
      <c r="H7" s="16">
        <f>AVERAGE(E7:G7)*1000/47400</f>
      </c>
      <c r="I7" s="6" t="s">
        <v>12</v>
      </c>
      <c r="J7" s="30">
        <v>10</v>
      </c>
      <c r="K7" s="17">
        <v>4986455.280312908</v>
      </c>
      <c r="L7" s="17">
        <v>5439196.349413299</v>
      </c>
      <c r="M7" s="17">
        <v>4565046.414602347</v>
      </c>
      <c r="N7" s="12">
        <v>1</v>
      </c>
      <c r="O7" s="6" t="s">
        <v>97</v>
      </c>
      <c r="P7" s="6" t="s">
        <v>98</v>
      </c>
      <c r="Q7" s="6" t="s">
        <v>99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x14ac:dyDescent="0.25" r="8" customHeight="1" ht="18">
      <c r="A8" s="15">
        <v>45345.395833333336</v>
      </c>
      <c r="B8" s="12">
        <v>46819</v>
      </c>
      <c r="C8" s="12">
        <v>51710</v>
      </c>
      <c r="D8" s="12">
        <v>41858</v>
      </c>
      <c r="E8" s="12">
        <v>2632</v>
      </c>
      <c r="F8" s="12">
        <v>2515</v>
      </c>
      <c r="G8" s="12">
        <v>2523</v>
      </c>
      <c r="H8" s="16">
        <f>AVERAGE(E8:G8)*1000/47400</f>
      </c>
      <c r="I8" s="6" t="s">
        <v>12</v>
      </c>
      <c r="J8" s="30">
        <v>9.999999999999998</v>
      </c>
      <c r="K8" s="17">
        <v>8680132.724902216</v>
      </c>
      <c r="L8" s="17">
        <v>9586912.64667536</v>
      </c>
      <c r="M8" s="17">
        <v>7760374.967405477</v>
      </c>
      <c r="N8" s="12">
        <v>11</v>
      </c>
      <c r="O8" s="6" t="s">
        <v>100</v>
      </c>
      <c r="P8" s="6" t="s">
        <v>101</v>
      </c>
      <c r="Q8" s="6" t="s">
        <v>102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x14ac:dyDescent="0.25" r="9" customHeight="1" ht="18">
      <c r="A9" s="15">
        <v>45348.395833333336</v>
      </c>
      <c r="B9" s="12">
        <v>13636</v>
      </c>
      <c r="C9" s="12">
        <v>14949</v>
      </c>
      <c r="D9" s="12">
        <v>16512</v>
      </c>
      <c r="E9" s="12">
        <v>2395</v>
      </c>
      <c r="F9" s="12">
        <v>2371</v>
      </c>
      <c r="G9" s="12">
        <v>2340</v>
      </c>
      <c r="H9" s="16">
        <f>AVERAGE(E9:G9)*1000/47400</f>
      </c>
      <c r="I9" s="6" t="s">
        <v>12</v>
      </c>
      <c r="J9" s="30">
        <v>100</v>
      </c>
      <c r="K9" s="17">
        <v>27287351.533915006</v>
      </c>
      <c r="L9" s="17">
        <v>29914829.721362233</v>
      </c>
      <c r="M9" s="17">
        <v>33042589.361103296</v>
      </c>
      <c r="N9" s="12">
        <v>11</v>
      </c>
      <c r="O9" s="6" t="s">
        <v>75</v>
      </c>
      <c r="P9" s="6" t="s">
        <v>76</v>
      </c>
      <c r="Q9" s="6" t="s">
        <v>77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x14ac:dyDescent="0.25" r="10" customHeight="1" ht="18">
      <c r="A10" s="15">
        <v>45349.395833333336</v>
      </c>
      <c r="B10" s="12">
        <v>21588</v>
      </c>
      <c r="C10" s="12">
        <v>20428</v>
      </c>
      <c r="D10" s="12">
        <v>19674</v>
      </c>
      <c r="E10" s="12">
        <v>2550</v>
      </c>
      <c r="F10" s="12">
        <v>2504</v>
      </c>
      <c r="G10" s="12">
        <v>2552</v>
      </c>
      <c r="H10" s="16">
        <f>AVERAGE(E10:G10)*1000/47400</f>
      </c>
      <c r="I10" s="6" t="s">
        <v>12</v>
      </c>
      <c r="J10" s="30">
        <v>100</v>
      </c>
      <c r="K10" s="17">
        <v>40360420.720483825</v>
      </c>
      <c r="L10" s="17">
        <v>38191711.806468576</v>
      </c>
      <c r="M10" s="17">
        <v>36782051.01235866</v>
      </c>
      <c r="N10" s="12">
        <v>2</v>
      </c>
      <c r="O10" s="6" t="s">
        <v>38</v>
      </c>
      <c r="P10" s="6" t="s">
        <v>39</v>
      </c>
      <c r="Q10" s="6" t="s">
        <v>40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</row>
    <row x14ac:dyDescent="0.25" r="11" customHeight="1" ht="18">
      <c r="A11" s="15">
        <v>45349.75</v>
      </c>
      <c r="B11" s="12">
        <v>58488</v>
      </c>
      <c r="C11" s="12">
        <v>64265</v>
      </c>
      <c r="D11" s="12">
        <v>65581</v>
      </c>
      <c r="E11" s="12">
        <v>2550</v>
      </c>
      <c r="F11" s="12">
        <v>2504</v>
      </c>
      <c r="G11" s="12">
        <v>2552</v>
      </c>
      <c r="H11" s="16">
        <f>AVERAGE(E11:G11)*1000/47400</f>
      </c>
      <c r="I11" s="6" t="s">
        <v>12</v>
      </c>
      <c r="J11" s="30">
        <v>1.0076841547429785</v>
      </c>
      <c r="K11" s="17">
        <v>1101880.4451510333</v>
      </c>
      <c r="L11" s="17">
        <v>1210715.8187599364</v>
      </c>
      <c r="M11" s="17">
        <v>1235508.505564388</v>
      </c>
      <c r="N11" s="12">
        <v>2</v>
      </c>
      <c r="O11" s="6" t="s">
        <v>50</v>
      </c>
      <c r="P11" s="6" t="s">
        <v>51</v>
      </c>
      <c r="Q11" s="6" t="s">
        <v>52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</row>
    <row x14ac:dyDescent="0.25" r="12" customHeight="1" ht="18">
      <c r="A12" s="15">
        <v>45350.395833333336</v>
      </c>
      <c r="B12" s="12">
        <v>26779</v>
      </c>
      <c r="C12" s="12">
        <v>26205</v>
      </c>
      <c r="D12" s="12">
        <v>26155</v>
      </c>
      <c r="E12" s="12">
        <v>2599</v>
      </c>
      <c r="F12" s="12">
        <v>2587</v>
      </c>
      <c r="G12" s="12">
        <v>2639</v>
      </c>
      <c r="H12" s="16">
        <f>AVERAGE(E12:G12)*1000/47400</f>
      </c>
      <c r="I12" s="6" t="s">
        <v>12</v>
      </c>
      <c r="J12" s="30">
        <v>2</v>
      </c>
      <c r="K12" s="17">
        <v>973284.038338658</v>
      </c>
      <c r="L12" s="17">
        <v>952421.9808306708</v>
      </c>
      <c r="M12" s="17">
        <v>950604.7284345047</v>
      </c>
      <c r="N12" s="12">
        <v>2</v>
      </c>
      <c r="O12" s="6" t="s">
        <v>79</v>
      </c>
      <c r="P12" s="6" t="s">
        <v>80</v>
      </c>
      <c r="Q12" s="6" t="s">
        <v>81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</row>
    <row x14ac:dyDescent="0.25" r="13" customHeight="1" ht="18">
      <c r="A13" s="15">
        <v>45351.395833333336</v>
      </c>
      <c r="B13" s="12">
        <v>49614</v>
      </c>
      <c r="C13" s="12">
        <v>47583</v>
      </c>
      <c r="D13" s="12">
        <v>47767</v>
      </c>
      <c r="E13" s="12">
        <v>2647</v>
      </c>
      <c r="F13" s="12">
        <v>2666</v>
      </c>
      <c r="G13" s="12">
        <v>2565</v>
      </c>
      <c r="H13" s="16">
        <f>AVERAGE(E13:G13)*1000/47400</f>
      </c>
      <c r="I13" s="6" t="s">
        <v>12</v>
      </c>
      <c r="J13" s="30">
        <v>3</v>
      </c>
      <c r="K13" s="17">
        <v>2686637.776085301</v>
      </c>
      <c r="L13" s="17">
        <v>2576657.501904037</v>
      </c>
      <c r="M13" s="17">
        <v>2586621.249047982</v>
      </c>
      <c r="N13" s="12">
        <v>12</v>
      </c>
      <c r="O13" s="6" t="s">
        <v>100</v>
      </c>
      <c r="P13" s="6" t="s">
        <v>101</v>
      </c>
      <c r="Q13" s="6" t="s">
        <v>102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</row>
    <row x14ac:dyDescent="0.25" r="14" customHeight="1" ht="18">
      <c r="A14" s="15">
        <v>45352.395833333336</v>
      </c>
      <c r="B14" s="12">
        <v>24617</v>
      </c>
      <c r="C14" s="12">
        <v>25528</v>
      </c>
      <c r="D14" s="12">
        <v>24935</v>
      </c>
      <c r="E14" s="12">
        <v>2474</v>
      </c>
      <c r="F14" s="12">
        <v>2453</v>
      </c>
      <c r="G14" s="12">
        <v>2516</v>
      </c>
      <c r="H14" s="16">
        <f>AVERAGE(E14:G14)*1000/47400</f>
      </c>
      <c r="I14" s="6" t="s">
        <v>12</v>
      </c>
      <c r="J14" s="30">
        <v>10</v>
      </c>
      <c r="K14" s="17">
        <v>4703126.964933495</v>
      </c>
      <c r="L14" s="17">
        <v>4877175.332527207</v>
      </c>
      <c r="M14" s="17">
        <v>4763881.499395405</v>
      </c>
      <c r="N14" s="12">
        <v>12</v>
      </c>
      <c r="O14" s="6" t="s">
        <v>79</v>
      </c>
      <c r="P14" s="6" t="s">
        <v>80</v>
      </c>
      <c r="Q14" s="6" t="s">
        <v>81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</row>
    <row x14ac:dyDescent="0.25" r="15" customHeight="1" ht="18">
      <c r="A15" s="15">
        <v>45355.395833333336</v>
      </c>
      <c r="B15" s="12">
        <v>49381</v>
      </c>
      <c r="C15" s="12">
        <v>41539</v>
      </c>
      <c r="D15" s="12">
        <v>49823</v>
      </c>
      <c r="E15" s="12">
        <v>2402</v>
      </c>
      <c r="F15" s="12">
        <v>2380</v>
      </c>
      <c r="G15" s="12">
        <v>2366</v>
      </c>
      <c r="H15" s="16">
        <f>AVERAGE(E15:G15)*1000/47400</f>
      </c>
      <c r="I15" s="6" t="s">
        <v>12</v>
      </c>
      <c r="J15" s="30">
        <v>20</v>
      </c>
      <c r="K15" s="17">
        <v>19647392.83715725</v>
      </c>
      <c r="L15" s="17">
        <v>16527268.606603248</v>
      </c>
      <c r="M15" s="17">
        <v>19823252.937884726</v>
      </c>
      <c r="N15" s="12">
        <v>3</v>
      </c>
      <c r="O15" s="6" t="s">
        <v>79</v>
      </c>
      <c r="P15" s="6" t="s">
        <v>80</v>
      </c>
      <c r="Q15" s="6" t="s">
        <v>81</v>
      </c>
      <c r="R15" s="6"/>
      <c r="S15" s="6"/>
      <c r="T15" s="6"/>
      <c r="U15" s="6"/>
      <c r="V15" s="18"/>
      <c r="W15" s="6"/>
      <c r="X15" s="6"/>
      <c r="Y15" s="6"/>
      <c r="Z15" s="6"/>
      <c r="AA15" s="6"/>
      <c r="AB15" s="6"/>
      <c r="AC15" s="18"/>
      <c r="AD15" s="6"/>
      <c r="AE15" s="6"/>
      <c r="AF15" s="18"/>
      <c r="AG15" s="6"/>
      <c r="AH15" s="6"/>
      <c r="AI15" s="18"/>
      <c r="AJ15" s="6"/>
      <c r="AK15" s="6"/>
      <c r="AL15" s="18"/>
      <c r="AM15" s="6"/>
      <c r="AN15" s="6"/>
      <c r="AO15" s="18"/>
      <c r="AP15" s="6"/>
      <c r="AQ15" s="6"/>
      <c r="AR15" s="18"/>
      <c r="AS15" s="6"/>
      <c r="AT15" s="6"/>
      <c r="AU15" s="6"/>
      <c r="AV15" s="6"/>
      <c r="AW15" s="18"/>
      <c r="AX15" s="6"/>
      <c r="AY15" s="6"/>
      <c r="AZ15" s="6"/>
      <c r="BA15" s="6"/>
      <c r="BB15" s="18"/>
      <c r="BC15" s="6"/>
      <c r="BD15" s="6"/>
      <c r="BE15" s="6"/>
      <c r="BF15" s="6"/>
      <c r="BG15" s="18"/>
      <c r="BH15" s="6"/>
      <c r="BI15" s="6"/>
      <c r="BJ15" s="6"/>
      <c r="BK15" s="6"/>
      <c r="BL15" s="18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36"/>
      <c r="CT15" s="6"/>
      <c r="CU15" s="6"/>
      <c r="CV15" s="6"/>
      <c r="CW15" s="6"/>
      <c r="CX15" s="36"/>
    </row>
    <row x14ac:dyDescent="0.25" r="16" customHeight="1" ht="18">
      <c r="A16" s="15">
        <v>45356.395833333336</v>
      </c>
      <c r="B16" s="12">
        <v>31687</v>
      </c>
      <c r="C16" s="12">
        <v>34592</v>
      </c>
      <c r="D16" s="12">
        <v>38196</v>
      </c>
      <c r="E16" s="12">
        <v>2723</v>
      </c>
      <c r="F16" s="12">
        <v>2624</v>
      </c>
      <c r="G16" s="12">
        <v>2557</v>
      </c>
      <c r="H16" s="16">
        <f>AVERAGE(E16:G16)*1000/47400</f>
      </c>
      <c r="I16" s="6" t="s">
        <v>12</v>
      </c>
      <c r="J16" s="30">
        <v>50</v>
      </c>
      <c r="K16" s="17">
        <v>28503867.661943324</v>
      </c>
      <c r="L16" s="17">
        <v>31117044.534412958</v>
      </c>
      <c r="M16" s="17">
        <v>34359003.03643725</v>
      </c>
      <c r="N16" s="12">
        <v>4</v>
      </c>
      <c r="O16" s="6" t="s">
        <v>85</v>
      </c>
      <c r="P16" s="6" t="s">
        <v>86</v>
      </c>
      <c r="Q16" s="6" t="s">
        <v>87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36"/>
      <c r="CT16" s="6"/>
      <c r="CU16" s="6"/>
      <c r="CV16" s="6"/>
      <c r="CW16" s="6"/>
      <c r="CX16" s="36"/>
    </row>
    <row x14ac:dyDescent="0.25" r="17" customHeight="1" ht="18">
      <c r="A17" s="15">
        <v>45357.395833333336</v>
      </c>
      <c r="B17" s="12">
        <v>30665</v>
      </c>
      <c r="C17" s="12">
        <v>35865</v>
      </c>
      <c r="D17" s="12">
        <v>35624</v>
      </c>
      <c r="E17" s="12">
        <v>2796</v>
      </c>
      <c r="F17" s="12">
        <v>2699</v>
      </c>
      <c r="G17" s="12">
        <v>2754</v>
      </c>
      <c r="H17" s="16">
        <f>AVERAGE(E17:G17)*1000/47400</f>
      </c>
      <c r="I17" s="6" t="s">
        <v>12</v>
      </c>
      <c r="J17" s="30">
        <v>75</v>
      </c>
      <c r="K17" s="17">
        <v>39646287.42877925</v>
      </c>
      <c r="L17" s="17">
        <v>46369284.155655235</v>
      </c>
      <c r="M17" s="17">
        <v>46057699.11504425</v>
      </c>
      <c r="N17" s="12">
        <v>5</v>
      </c>
      <c r="O17" s="6" t="s">
        <v>79</v>
      </c>
      <c r="P17" s="6" t="s">
        <v>80</v>
      </c>
      <c r="Q17" s="6" t="s">
        <v>81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36"/>
      <c r="CT17" s="6"/>
      <c r="CU17" s="6"/>
      <c r="CV17" s="6"/>
      <c r="CW17" s="6"/>
      <c r="CX17" s="36"/>
    </row>
    <row x14ac:dyDescent="0.25" r="18" customHeight="1" ht="18">
      <c r="A18" s="15">
        <v>45357.75</v>
      </c>
      <c r="B18" s="12">
        <v>62714</v>
      </c>
      <c r="C18" s="12">
        <v>54482</v>
      </c>
      <c r="D18" s="12">
        <v>39727</v>
      </c>
      <c r="E18" s="12">
        <v>2639</v>
      </c>
      <c r="F18" s="12">
        <v>2550</v>
      </c>
      <c r="G18" s="12">
        <v>2603</v>
      </c>
      <c r="H18" s="16">
        <f>AVERAGE(E18:G18)*1000/47400</f>
      </c>
      <c r="I18" s="6" t="s">
        <v>12</v>
      </c>
      <c r="J18" s="30">
        <v>1</v>
      </c>
      <c r="K18" s="17">
        <v>1144498.3059548254</v>
      </c>
      <c r="L18" s="17">
        <v>994268.5318275153</v>
      </c>
      <c r="M18" s="17">
        <v>724997.3562628336</v>
      </c>
      <c r="N18" s="12">
        <v>5</v>
      </c>
      <c r="O18" s="6" t="s">
        <v>55</v>
      </c>
      <c r="P18" s="6" t="s">
        <v>56</v>
      </c>
      <c r="Q18" s="6" t="s">
        <v>57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36"/>
      <c r="CT18" s="6"/>
      <c r="CU18" s="6"/>
      <c r="CV18" s="6"/>
      <c r="CW18" s="6"/>
      <c r="CX18" s="36"/>
    </row>
    <row x14ac:dyDescent="0.25" r="19" customHeight="1" ht="18">
      <c r="A19" s="15">
        <v>45358.375</v>
      </c>
      <c r="B19" s="12">
        <v>40891</v>
      </c>
      <c r="C19" s="12">
        <v>32974</v>
      </c>
      <c r="D19" s="12">
        <v>34179</v>
      </c>
      <c r="E19" s="12">
        <v>2480</v>
      </c>
      <c r="F19" s="12">
        <v>2381</v>
      </c>
      <c r="G19" s="12">
        <v>2327</v>
      </c>
      <c r="H19" s="16">
        <f>AVERAGE(E19:G19)*1000/47400</f>
      </c>
      <c r="I19" s="6" t="s">
        <v>12</v>
      </c>
      <c r="J19" s="30">
        <v>1.8449691991786448</v>
      </c>
      <c r="K19" s="17">
        <v>1492479.5174537986</v>
      </c>
      <c r="L19" s="17">
        <v>1203517.1457905544</v>
      </c>
      <c r="M19" s="17">
        <v>1247498.40862423</v>
      </c>
      <c r="N19" s="12">
        <v>5</v>
      </c>
      <c r="O19" s="6" t="s">
        <v>100</v>
      </c>
      <c r="P19" s="6" t="s">
        <v>101</v>
      </c>
      <c r="Q19" s="6" t="s">
        <v>102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36"/>
      <c r="CT19" s="6"/>
      <c r="CU19" s="6"/>
      <c r="CV19" s="6"/>
      <c r="CW19" s="6"/>
      <c r="CX19" s="36"/>
    </row>
    <row x14ac:dyDescent="0.25" r="20" customHeight="1" ht="18">
      <c r="A20" s="15">
        <v>45359.375</v>
      </c>
      <c r="B20" s="12">
        <v>40184</v>
      </c>
      <c r="C20" s="12">
        <v>32855</v>
      </c>
      <c r="D20" s="12">
        <v>34912</v>
      </c>
      <c r="E20" s="12">
        <v>2480</v>
      </c>
      <c r="F20" s="12">
        <v>2381</v>
      </c>
      <c r="G20" s="12">
        <v>2327</v>
      </c>
      <c r="H20" s="16">
        <f>AVERAGE(E20:G20)*1000/47400</f>
      </c>
      <c r="I20" s="6" t="s">
        <v>12</v>
      </c>
      <c r="J20" s="30">
        <v>2.9999999999999996</v>
      </c>
      <c r="K20" s="17">
        <v>2384876.7946577626</v>
      </c>
      <c r="L20" s="17">
        <v>1949908.5976627711</v>
      </c>
      <c r="M20" s="17">
        <v>2071989.3155258764</v>
      </c>
      <c r="N20" s="12">
        <v>6</v>
      </c>
      <c r="O20" s="6" t="s">
        <v>79</v>
      </c>
      <c r="P20" s="6" t="s">
        <v>80</v>
      </c>
      <c r="Q20" s="6" t="s">
        <v>81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36"/>
      <c r="CT20" s="6"/>
      <c r="CU20" s="6"/>
      <c r="CV20" s="6"/>
      <c r="CW20" s="6"/>
      <c r="CX20" s="36"/>
    </row>
    <row x14ac:dyDescent="0.25" r="21" customHeight="1" ht="18">
      <c r="A21" s="15">
        <v>45363.375</v>
      </c>
      <c r="B21" s="12">
        <v>37706</v>
      </c>
      <c r="C21" s="12">
        <v>37044</v>
      </c>
      <c r="D21" s="12">
        <v>34414</v>
      </c>
      <c r="E21" s="12">
        <v>2284</v>
      </c>
      <c r="F21" s="12">
        <v>2309</v>
      </c>
      <c r="G21" s="12">
        <v>2349</v>
      </c>
      <c r="H21" s="16">
        <f>AVERAGE(E21:G21)*1000/49350</f>
      </c>
      <c r="I21" s="6" t="s">
        <v>12</v>
      </c>
      <c r="J21" s="30">
        <v>20</v>
      </c>
      <c r="K21" s="17">
        <v>16082896.283491788</v>
      </c>
      <c r="L21" s="17">
        <v>15800530.682800345</v>
      </c>
      <c r="M21" s="17">
        <v>14678745.894554883</v>
      </c>
      <c r="N21" s="12">
        <v>6</v>
      </c>
      <c r="O21" s="6" t="s">
        <v>100</v>
      </c>
      <c r="P21" s="6" t="s">
        <v>101</v>
      </c>
      <c r="Q21" s="6" t="s">
        <v>102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</row>
    <row x14ac:dyDescent="0.25" r="22" customHeight="1" ht="18">
      <c r="A22" s="15">
        <v>45364.375</v>
      </c>
      <c r="B22" s="12">
        <v>21931</v>
      </c>
      <c r="C22" s="12">
        <v>20540</v>
      </c>
      <c r="D22" s="12">
        <v>21941</v>
      </c>
      <c r="E22" s="12">
        <v>2272</v>
      </c>
      <c r="F22" s="12">
        <v>2204</v>
      </c>
      <c r="G22" s="12">
        <v>2254</v>
      </c>
      <c r="H22" s="16">
        <f>AVERAGE(E22:G22)*1000/49350</f>
      </c>
      <c r="I22" s="6" t="s">
        <v>12</v>
      </c>
      <c r="J22" s="30">
        <v>50</v>
      </c>
      <c r="K22" s="17">
        <v>24122470.653789006</v>
      </c>
      <c r="L22" s="17">
        <v>22592473.99702823</v>
      </c>
      <c r="M22" s="17">
        <v>24133469.910846952</v>
      </c>
      <c r="N22" s="12">
        <v>7</v>
      </c>
      <c r="O22" s="6" t="s">
        <v>79</v>
      </c>
      <c r="P22" s="6" t="s">
        <v>80</v>
      </c>
      <c r="Q22" s="6" t="s">
        <v>81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</row>
    <row x14ac:dyDescent="0.25" r="23" customHeight="1" ht="18">
      <c r="A23" s="15">
        <v>45365.375</v>
      </c>
      <c r="B23" s="12">
        <v>32547</v>
      </c>
      <c r="C23" s="12">
        <v>31487</v>
      </c>
      <c r="D23" s="12">
        <v>30815</v>
      </c>
      <c r="E23" s="12">
        <v>2462</v>
      </c>
      <c r="F23" s="12">
        <v>2461</v>
      </c>
      <c r="G23" s="12">
        <v>2486</v>
      </c>
      <c r="H23" s="16">
        <f>AVERAGE(E23:G23)*1000/49350</f>
      </c>
      <c r="I23" s="6" t="s">
        <v>12</v>
      </c>
      <c r="J23" s="30">
        <v>50</v>
      </c>
      <c r="K23" s="17">
        <v>32518446.146578487</v>
      </c>
      <c r="L23" s="17">
        <v>31459376.096639223</v>
      </c>
      <c r="M23" s="17">
        <v>30787965.64988528</v>
      </c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</row>
    <row x14ac:dyDescent="0.25" r="24" customHeight="1" ht="18">
      <c r="A24" s="15">
        <v>45366.375</v>
      </c>
      <c r="B24" s="12">
        <v>45869</v>
      </c>
      <c r="C24" s="12">
        <v>48241</v>
      </c>
      <c r="D24" s="12">
        <v>46833</v>
      </c>
      <c r="E24" s="39"/>
      <c r="F24" s="39"/>
      <c r="G24" s="39"/>
      <c r="H24" s="16">
        <v>48.79</v>
      </c>
      <c r="I24" s="6" t="s">
        <v>12</v>
      </c>
      <c r="J24" s="30">
        <v>50</v>
      </c>
      <c r="K24" s="17">
        <v>47006558.7210494</v>
      </c>
      <c r="L24" s="17">
        <v>49437384.70998155</v>
      </c>
      <c r="M24" s="17">
        <v>47994466.07911457</v>
      </c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</row>
    <row x14ac:dyDescent="0.25" r="25" customHeight="1" ht="18">
      <c r="A25" s="15">
        <v>45366.708333333336</v>
      </c>
      <c r="B25" s="12">
        <v>51033</v>
      </c>
      <c r="C25" s="12">
        <v>72869</v>
      </c>
      <c r="D25" s="12">
        <v>55872</v>
      </c>
      <c r="E25" s="39"/>
      <c r="F25" s="39"/>
      <c r="G25" s="39"/>
      <c r="H25" s="16">
        <v>48.79</v>
      </c>
      <c r="I25" s="6" t="s">
        <v>12</v>
      </c>
      <c r="J25" s="30">
        <v>1</v>
      </c>
      <c r="K25" s="17">
        <v>1045972.5353556057</v>
      </c>
      <c r="L25" s="17">
        <v>1493523.262963722</v>
      </c>
      <c r="M25" s="17">
        <v>1145152.6952244313</v>
      </c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</row>
    <row x14ac:dyDescent="0.25" r="26" customHeight="1" ht="18">
      <c r="A26" s="15">
        <v>45367.5</v>
      </c>
      <c r="B26" s="12">
        <v>36661</v>
      </c>
      <c r="C26" s="12">
        <v>45668</v>
      </c>
      <c r="D26" s="12">
        <v>36699</v>
      </c>
      <c r="E26" s="12">
        <v>1147</v>
      </c>
      <c r="F26" s="12">
        <v>1132</v>
      </c>
      <c r="G26" s="12">
        <v>1201</v>
      </c>
      <c r="H26" s="16">
        <f>AVERAGE(E26:G26)*1000/49350</f>
      </c>
      <c r="I26" s="6" t="s">
        <v>13</v>
      </c>
      <c r="J26" s="30">
        <v>1</v>
      </c>
      <c r="K26" s="17">
        <v>1559672.7155172415</v>
      </c>
      <c r="L26" s="17">
        <v>1942858.448275862</v>
      </c>
      <c r="M26" s="17">
        <v>1561289.353448276</v>
      </c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</row>
    <row x14ac:dyDescent="0.25" r="27" customHeight="1" ht="18">
      <c r="A27" s="15">
        <v>45368.5</v>
      </c>
      <c r="B27" s="12">
        <v>18502</v>
      </c>
      <c r="C27" s="12">
        <v>22160</v>
      </c>
      <c r="D27" s="12">
        <v>17353</v>
      </c>
      <c r="E27" s="12">
        <v>419</v>
      </c>
      <c r="F27" s="12">
        <v>410</v>
      </c>
      <c r="G27" s="12">
        <v>435</v>
      </c>
      <c r="H27" s="16">
        <f>AVERAGE(E27:G27)*1000/49350</f>
      </c>
      <c r="I27" s="6" t="s">
        <v>53</v>
      </c>
      <c r="J27" s="30">
        <v>1</v>
      </c>
      <c r="K27" s="17">
        <v>2167105.3006329113</v>
      </c>
      <c r="L27" s="17">
        <v>2595560.1265822784</v>
      </c>
      <c r="M27" s="17">
        <v>2032525.039556962</v>
      </c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</row>
    <row x14ac:dyDescent="0.25" r="28" customHeight="1" ht="18">
      <c r="A28" s="15">
        <v>45369.416666666664</v>
      </c>
      <c r="B28" s="12">
        <v>11100</v>
      </c>
      <c r="C28" s="12">
        <v>11876</v>
      </c>
      <c r="D28" s="12">
        <v>10761</v>
      </c>
      <c r="E28" s="12">
        <v>2384</v>
      </c>
      <c r="F28" s="12">
        <v>2445</v>
      </c>
      <c r="G28" s="12">
        <v>2453</v>
      </c>
      <c r="H28" s="16">
        <f>AVERAGE(E28:G28)*1000/49350</f>
      </c>
      <c r="I28" s="6" t="s">
        <v>12</v>
      </c>
      <c r="J28" s="30">
        <v>20</v>
      </c>
      <c r="K28" s="17">
        <v>4513471.5737434765</v>
      </c>
      <c r="L28" s="17">
        <v>4829007.964844823</v>
      </c>
      <c r="M28" s="17">
        <v>4375627.712166987</v>
      </c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</row>
    <row x14ac:dyDescent="0.25" r="29" customHeight="1" ht="18">
      <c r="A29" s="15">
        <v>45370.416666666664</v>
      </c>
      <c r="B29" s="12">
        <v>15496</v>
      </c>
      <c r="C29" s="12">
        <v>19864</v>
      </c>
      <c r="D29" s="12">
        <v>16097</v>
      </c>
      <c r="E29" s="12">
        <v>2514</v>
      </c>
      <c r="F29" s="12">
        <v>2431</v>
      </c>
      <c r="G29" s="12">
        <v>2517</v>
      </c>
      <c r="H29" s="16">
        <f>AVERAGE(E29:G29)*1000/49350</f>
      </c>
      <c r="I29" s="6" t="s">
        <v>12</v>
      </c>
      <c r="J29" s="30">
        <v>20</v>
      </c>
      <c r="K29" s="17">
        <v>6148975.609756097</v>
      </c>
      <c r="L29" s="17">
        <v>7882243.902439023</v>
      </c>
      <c r="M29" s="17">
        <v>6387458.724202625</v>
      </c>
      <c r="N29" s="7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</row>
    <row x14ac:dyDescent="0.25" r="30" customHeight="1" ht="18">
      <c r="A30" s="15">
        <v>45371.416666666664</v>
      </c>
      <c r="B30" s="12">
        <v>14483</v>
      </c>
      <c r="C30" s="12">
        <v>13661</v>
      </c>
      <c r="D30" s="12">
        <v>13404</v>
      </c>
      <c r="E30" s="12">
        <v>2506</v>
      </c>
      <c r="F30" s="12">
        <v>2532</v>
      </c>
      <c r="G30" s="12">
        <v>2476</v>
      </c>
      <c r="H30" s="16">
        <f>AVERAGE(E30:G30)*1000/49350</f>
      </c>
      <c r="I30" s="6" t="s">
        <v>12</v>
      </c>
      <c r="J30" s="30">
        <v>50</v>
      </c>
      <c r="K30" s="17">
        <v>14268087.237157308</v>
      </c>
      <c r="L30" s="17">
        <v>13458284.868245943</v>
      </c>
      <c r="M30" s="17">
        <v>13205098.482832048</v>
      </c>
      <c r="N30" s="7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</row>
    <row x14ac:dyDescent="0.25" r="31" customHeight="1" ht="18">
      <c r="A31" s="15">
        <v>45372.416666666664</v>
      </c>
      <c r="B31" s="12">
        <v>24528</v>
      </c>
      <c r="C31" s="12">
        <v>15830</v>
      </c>
      <c r="D31" s="12">
        <v>20972</v>
      </c>
      <c r="E31" s="12">
        <v>2056</v>
      </c>
      <c r="F31" s="12">
        <v>2163</v>
      </c>
      <c r="G31" s="12">
        <v>2163</v>
      </c>
      <c r="H31" s="16">
        <f>AVERAGE(E31:G31)*1000/49350</f>
      </c>
      <c r="I31" s="6" t="s">
        <v>12</v>
      </c>
      <c r="J31" s="30">
        <v>50</v>
      </c>
      <c r="K31" s="17">
        <v>28450097.148229394</v>
      </c>
      <c r="L31" s="17">
        <v>18361262.143528674</v>
      </c>
      <c r="M31" s="17">
        <v>24325482.607333124</v>
      </c>
      <c r="N31" s="7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</row>
    <row x14ac:dyDescent="0.25" r="32" customHeight="1" ht="18">
      <c r="A32" s="15">
        <v>45373.416666666664</v>
      </c>
      <c r="B32" s="12">
        <v>28164</v>
      </c>
      <c r="C32" s="12">
        <v>21291</v>
      </c>
      <c r="D32" s="12">
        <v>26006</v>
      </c>
      <c r="E32" s="12">
        <v>2414</v>
      </c>
      <c r="F32" s="12">
        <v>2444</v>
      </c>
      <c r="G32" s="12">
        <v>2508</v>
      </c>
      <c r="H32" s="16">
        <f>AVERAGE(E32:G32)*1000/49350</f>
      </c>
      <c r="I32" s="6" t="s">
        <v>12</v>
      </c>
      <c r="J32" s="30">
        <v>75</v>
      </c>
      <c r="K32" s="17">
        <v>42455337.36084714</v>
      </c>
      <c r="L32" s="17">
        <v>32094751.730925877</v>
      </c>
      <c r="M32" s="17">
        <v>39202297.37985338</v>
      </c>
      <c r="N32" s="7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</row>
    <row x14ac:dyDescent="0.25" r="33" customHeight="1" ht="18">
      <c r="A33" s="15">
        <v>45376.416666666664</v>
      </c>
      <c r="B33" s="12">
        <v>26673</v>
      </c>
      <c r="C33" s="12">
        <v>30792</v>
      </c>
      <c r="D33" s="12">
        <v>18345</v>
      </c>
      <c r="E33" s="12">
        <v>2403</v>
      </c>
      <c r="F33" s="12">
        <v>2469</v>
      </c>
      <c r="G33" s="12">
        <v>2441</v>
      </c>
      <c r="H33" s="16">
        <f>AVERAGE(E33:G33)*1000/49350</f>
      </c>
      <c r="I33" s="6" t="s">
        <v>12</v>
      </c>
      <c r="J33" s="30">
        <v>150</v>
      </c>
      <c r="K33" s="17">
        <v>80470132.79445729</v>
      </c>
      <c r="L33" s="17">
        <v>92896799.3479147</v>
      </c>
      <c r="M33" s="17">
        <v>55345277.475886434</v>
      </c>
      <c r="N33" s="7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</row>
    <row x14ac:dyDescent="0.25" r="34" customHeight="1" ht="18">
      <c r="A34" s="19">
        <v>45376.75</v>
      </c>
      <c r="B34" s="12">
        <v>21726</v>
      </c>
      <c r="C34" s="12">
        <v>19494</v>
      </c>
      <c r="D34" s="12">
        <v>31210</v>
      </c>
      <c r="E34" s="12">
        <v>2403</v>
      </c>
      <c r="F34" s="12">
        <v>2469</v>
      </c>
      <c r="G34" s="12">
        <v>2441</v>
      </c>
      <c r="H34" s="16">
        <f>AVERAGE(E34:G34)*1000/49350</f>
      </c>
      <c r="I34" s="6" t="s">
        <v>12</v>
      </c>
      <c r="J34" s="30">
        <v>1.9869582937100936</v>
      </c>
      <c r="K34" s="17">
        <v>873939.4919168592</v>
      </c>
      <c r="L34" s="17">
        <v>784156.1472626003</v>
      </c>
      <c r="M34" s="17">
        <v>1255438.2556717838</v>
      </c>
      <c r="N34" s="7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</row>
    <row x14ac:dyDescent="0.25" r="35" customHeight="1" ht="18">
      <c r="A35" s="15">
        <v>45377.416666666664</v>
      </c>
      <c r="B35" s="12">
        <v>19210</v>
      </c>
      <c r="C35" s="12">
        <v>16727</v>
      </c>
      <c r="D35" s="12">
        <v>28660</v>
      </c>
      <c r="E35" s="12">
        <v>2452</v>
      </c>
      <c r="F35" s="12">
        <v>2438</v>
      </c>
      <c r="G35" s="12">
        <v>2349</v>
      </c>
      <c r="H35" s="16">
        <f>AVERAGE(E35:G35)*1000/49350</f>
      </c>
      <c r="I35" s="6" t="s">
        <v>12</v>
      </c>
      <c r="J35" s="30">
        <v>3</v>
      </c>
      <c r="K35" s="17">
        <v>1178632.6150020722</v>
      </c>
      <c r="L35" s="17">
        <v>1026287.7538334024</v>
      </c>
      <c r="M35" s="17">
        <v>1758438.8727724825</v>
      </c>
      <c r="N35" s="7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</row>
    <row x14ac:dyDescent="0.25" r="36" customHeight="1" ht="18">
      <c r="A36" s="15">
        <v>45378.416666666664</v>
      </c>
      <c r="B36" s="12">
        <v>7242</v>
      </c>
      <c r="C36" s="12">
        <v>6410</v>
      </c>
      <c r="D36" s="12">
        <v>10357</v>
      </c>
      <c r="E36" s="12">
        <v>2590</v>
      </c>
      <c r="F36" s="12">
        <v>2598</v>
      </c>
      <c r="G36" s="12">
        <v>2611</v>
      </c>
      <c r="H36" s="16">
        <f>AVERAGE(E36:G36)*1000/49350</f>
      </c>
      <c r="I36" s="6" t="s">
        <v>12</v>
      </c>
      <c r="J36" s="30">
        <v>15</v>
      </c>
      <c r="K36" s="17">
        <v>2062145.3391460446</v>
      </c>
      <c r="L36" s="17">
        <v>1825234.966021285</v>
      </c>
      <c r="M36" s="17">
        <v>2949135.4981407877</v>
      </c>
      <c r="N36" s="7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</row>
    <row x14ac:dyDescent="0.25" r="37" customHeight="1" ht="18">
      <c r="A37" s="15">
        <v>45379.416666666664</v>
      </c>
      <c r="B37" s="12">
        <v>13446</v>
      </c>
      <c r="C37" s="12">
        <v>11926</v>
      </c>
      <c r="D37" s="12">
        <v>19155</v>
      </c>
      <c r="E37" s="12">
        <v>2452</v>
      </c>
      <c r="F37" s="12">
        <v>2438</v>
      </c>
      <c r="G37" s="12">
        <v>2349</v>
      </c>
      <c r="H37" s="16">
        <f>AVERAGE(E37:G37)*1000/49350</f>
      </c>
      <c r="I37" s="6" t="s">
        <v>12</v>
      </c>
      <c r="J37" s="30">
        <v>15</v>
      </c>
      <c r="K37" s="17">
        <v>4163441.787506972</v>
      </c>
      <c r="L37" s="17">
        <v>3692786.4612381486</v>
      </c>
      <c r="M37" s="17">
        <v>5931186.03597323</v>
      </c>
      <c r="N37" s="7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</row>
    <row x14ac:dyDescent="0.25" r="38" customHeight="1" ht="18">
      <c r="A38" s="15">
        <v>45380.416666666664</v>
      </c>
      <c r="B38" s="12">
        <v>22349</v>
      </c>
      <c r="C38" s="12">
        <v>19934</v>
      </c>
      <c r="D38" s="12">
        <v>29997</v>
      </c>
      <c r="E38" s="12">
        <v>2590</v>
      </c>
      <c r="F38" s="12">
        <v>2598</v>
      </c>
      <c r="G38" s="12">
        <v>2611</v>
      </c>
      <c r="H38" s="16">
        <f>AVERAGE(E38:G38)*1000/49350</f>
      </c>
      <c r="I38" s="6" t="s">
        <v>12</v>
      </c>
      <c r="J38" s="30">
        <v>20</v>
      </c>
      <c r="K38" s="17">
        <v>7159772.324004617</v>
      </c>
      <c r="L38" s="17">
        <v>6386097.879399885</v>
      </c>
      <c r="M38" s="17">
        <v>9609901.579630699</v>
      </c>
      <c r="N38" s="7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</row>
    <row x14ac:dyDescent="0.25" r="39" customHeight="1" ht="18">
      <c r="A39" s="15">
        <v>45384.375</v>
      </c>
      <c r="B39" s="12">
        <v>20230</v>
      </c>
      <c r="C39" s="12">
        <v>14159</v>
      </c>
      <c r="D39" s="12">
        <v>20131</v>
      </c>
      <c r="E39" s="12">
        <v>2484</v>
      </c>
      <c r="F39" s="12">
        <v>2546</v>
      </c>
      <c r="G39" s="12">
        <v>2502</v>
      </c>
      <c r="H39" s="16">
        <f>AVERAGE(E39:G39)*1000/49350</f>
      </c>
      <c r="I39" s="6" t="s">
        <v>12</v>
      </c>
      <c r="J39" s="30">
        <v>100</v>
      </c>
      <c r="K39" s="17">
        <v>43206167.05135603</v>
      </c>
      <c r="L39" s="17">
        <v>30240045.441431046</v>
      </c>
      <c r="M39" s="17">
        <v>42994728.07270629</v>
      </c>
      <c r="N39" s="7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</row>
    <row x14ac:dyDescent="0.25" r="40" customHeight="1" ht="18">
      <c r="A40" s="15">
        <v>45385.416666666664</v>
      </c>
      <c r="B40" s="12">
        <v>22193</v>
      </c>
      <c r="C40" s="12">
        <v>16674</v>
      </c>
      <c r="D40" s="12">
        <v>21929</v>
      </c>
      <c r="E40" s="12">
        <v>2465</v>
      </c>
      <c r="F40" s="12">
        <v>2489</v>
      </c>
      <c r="G40" s="12">
        <v>2469</v>
      </c>
      <c r="H40" s="16">
        <f>AVERAGE(E40:G40)*1000/49350</f>
      </c>
      <c r="I40" s="6" t="s">
        <v>12</v>
      </c>
      <c r="J40" s="30">
        <v>100</v>
      </c>
      <c r="K40" s="17">
        <v>43622857.80669145</v>
      </c>
      <c r="L40" s="17">
        <v>32774637.546468403</v>
      </c>
      <c r="M40" s="17">
        <v>43103935.87360595</v>
      </c>
      <c r="N40" s="7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</row>
    <row x14ac:dyDescent="0.25" r="41" customHeight="1" ht="18">
      <c r="A41" s="15">
        <v>45385.666666666664</v>
      </c>
      <c r="B41" s="12">
        <v>32535</v>
      </c>
      <c r="C41" s="12">
        <v>38358</v>
      </c>
      <c r="D41" s="12">
        <v>32415</v>
      </c>
      <c r="E41" s="12">
        <v>2465</v>
      </c>
      <c r="F41" s="12">
        <v>2489</v>
      </c>
      <c r="G41" s="12">
        <v>2469</v>
      </c>
      <c r="H41" s="16">
        <f>AVERAGE(E41:G41)*1000/49350</f>
      </c>
      <c r="I41" s="6" t="s">
        <v>12</v>
      </c>
      <c r="J41" s="30">
        <v>1.971056824216676</v>
      </c>
      <c r="K41" s="17">
        <v>1279024.6282527882</v>
      </c>
      <c r="L41" s="17">
        <v>1507939.962825279</v>
      </c>
      <c r="M41" s="17">
        <v>1274307.1561338292</v>
      </c>
      <c r="N41" s="7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</row>
    <row x14ac:dyDescent="0.25" r="42" customHeight="1" ht="18">
      <c r="A42" s="15">
        <v>45386.416666666664</v>
      </c>
      <c r="B42" s="12">
        <v>28432</v>
      </c>
      <c r="C42" s="12">
        <v>32178</v>
      </c>
      <c r="D42" s="12">
        <v>26715</v>
      </c>
      <c r="E42" s="12">
        <v>2485</v>
      </c>
      <c r="F42" s="12">
        <v>2609</v>
      </c>
      <c r="G42" s="12">
        <v>2573</v>
      </c>
      <c r="H42" s="16">
        <f>AVERAGE(E42:G42)*1000/49350</f>
      </c>
      <c r="I42" s="6" t="s">
        <v>12</v>
      </c>
      <c r="J42" s="30">
        <v>3.0986124208541015</v>
      </c>
      <c r="K42" s="17">
        <v>1701208.7835107099</v>
      </c>
      <c r="L42" s="17">
        <v>1925348.066819345</v>
      </c>
      <c r="M42" s="17">
        <v>1598473.2924693518</v>
      </c>
      <c r="N42" s="7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x14ac:dyDescent="0.25" r="43" customHeight="1" ht="18">
      <c r="A43" s="15">
        <v>45387.416666666664</v>
      </c>
      <c r="B43" s="12">
        <v>10300</v>
      </c>
      <c r="C43" s="12">
        <v>11179</v>
      </c>
      <c r="D43" s="12">
        <v>8968</v>
      </c>
      <c r="E43" s="12">
        <v>2367</v>
      </c>
      <c r="F43" s="12">
        <v>2336</v>
      </c>
      <c r="G43" s="12">
        <v>2224</v>
      </c>
      <c r="H43" s="16">
        <f>AVERAGE(E43:G43)*1000/49350</f>
      </c>
      <c r="I43" s="6" t="s">
        <v>12</v>
      </c>
      <c r="J43" s="30">
        <v>15</v>
      </c>
      <c r="K43" s="17">
        <v>2983399.634798487</v>
      </c>
      <c r="L43" s="17">
        <v>3238002.38033129</v>
      </c>
      <c r="M43" s="17">
        <v>2597585.235424547</v>
      </c>
      <c r="N43" s="7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</row>
    <row x14ac:dyDescent="0.25" r="44" customHeight="1" ht="18">
      <c r="A44" s="15">
        <v>45390.5</v>
      </c>
      <c r="B44" s="12">
        <v>8285</v>
      </c>
      <c r="C44" s="12">
        <v>8464</v>
      </c>
      <c r="D44" s="12">
        <v>6838</v>
      </c>
      <c r="E44" s="12">
        <v>2506</v>
      </c>
      <c r="F44" s="12">
        <v>2540</v>
      </c>
      <c r="G44" s="12">
        <v>2498</v>
      </c>
      <c r="H44" s="16">
        <f>AVERAGE(E44:G44)*1000/49350</f>
      </c>
      <c r="I44" s="6" t="s">
        <v>12</v>
      </c>
      <c r="J44" s="30">
        <v>50</v>
      </c>
      <c r="K44" s="17">
        <v>8853719.142485924</v>
      </c>
      <c r="L44" s="17">
        <v>9045006.496318752</v>
      </c>
      <c r="M44" s="17">
        <v>7307390.645300996</v>
      </c>
      <c r="N44" s="7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</row>
    <row x14ac:dyDescent="0.25" r="45" customHeight="1" ht="18">
      <c r="A45" s="15">
        <v>45391.416666666664</v>
      </c>
      <c r="B45" s="12">
        <v>6481</v>
      </c>
      <c r="C45" s="12">
        <v>7129</v>
      </c>
      <c r="D45" s="12">
        <v>6869</v>
      </c>
      <c r="E45" s="12">
        <v>2548</v>
      </c>
      <c r="F45" s="12">
        <v>2639</v>
      </c>
      <c r="G45" s="12">
        <v>2480</v>
      </c>
      <c r="H45" s="16">
        <f>AVERAGE(E45:G45)*1000/49350</f>
      </c>
      <c r="I45" s="6" t="s">
        <v>12</v>
      </c>
      <c r="J45" s="30">
        <v>100</v>
      </c>
      <c r="K45" s="17">
        <v>12718876.590668082</v>
      </c>
      <c r="L45" s="17">
        <v>13990568.001060447</v>
      </c>
      <c r="M45" s="17">
        <v>13480321.447507953</v>
      </c>
      <c r="N45" s="7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</row>
    <row x14ac:dyDescent="0.25" r="46" customHeight="1" ht="18">
      <c r="A46" s="15">
        <v>45392.583333333336</v>
      </c>
      <c r="B46" s="12">
        <v>30598</v>
      </c>
      <c r="C46" s="12">
        <v>31678</v>
      </c>
      <c r="D46" s="12">
        <v>30546</v>
      </c>
      <c r="E46" s="12">
        <v>2465</v>
      </c>
      <c r="F46" s="12">
        <v>2631</v>
      </c>
      <c r="G46" s="12">
        <v>2504</v>
      </c>
      <c r="H46" s="16">
        <f>AVERAGE(E46:G46)*1000/49350</f>
      </c>
      <c r="I46" s="6" t="s">
        <v>12</v>
      </c>
      <c r="J46" s="30">
        <v>100</v>
      </c>
      <c r="K46" s="17">
        <v>59084829.79000913</v>
      </c>
      <c r="L46" s="17">
        <v>61170313.02986827</v>
      </c>
      <c r="M46" s="17">
        <v>58984417.63401592</v>
      </c>
      <c r="N46" s="7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</row>
    <row x14ac:dyDescent="0.25" r="47" customHeight="1" ht="18">
      <c r="A47" s="15">
        <v>45393.416666666664</v>
      </c>
      <c r="B47" s="12">
        <v>21258</v>
      </c>
      <c r="C47" s="12">
        <v>24708</v>
      </c>
      <c r="D47" s="12">
        <v>29355</v>
      </c>
      <c r="E47" s="12">
        <v>2594</v>
      </c>
      <c r="F47" s="12">
        <v>2493</v>
      </c>
      <c r="G47" s="12">
        <v>2595</v>
      </c>
      <c r="H47" s="16">
        <f>AVERAGE(E47:G47)*1000/49350</f>
      </c>
      <c r="I47" s="6" t="s">
        <v>12</v>
      </c>
      <c r="J47" s="30">
        <v>100</v>
      </c>
      <c r="K47" s="17">
        <v>41411143.42105263</v>
      </c>
      <c r="L47" s="17">
        <v>48131834.21052632</v>
      </c>
      <c r="M47" s="17">
        <v>57184312.5</v>
      </c>
      <c r="N47" s="7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</row>
    <row x14ac:dyDescent="0.25" r="48" customHeight="1" ht="18">
      <c r="A48" s="15">
        <v>45394.416666666664</v>
      </c>
      <c r="B48" s="12">
        <v>31703</v>
      </c>
      <c r="C48" s="12">
        <v>27163</v>
      </c>
      <c r="D48" s="12">
        <v>31139</v>
      </c>
      <c r="E48" s="12">
        <v>2480</v>
      </c>
      <c r="F48" s="12">
        <v>2453</v>
      </c>
      <c r="G48" s="12">
        <v>2450</v>
      </c>
      <c r="H48" s="16">
        <f>AVERAGE(E48:G48)*1000/49350</f>
      </c>
      <c r="I48" s="6" t="s">
        <v>12</v>
      </c>
      <c r="J48" s="30">
        <v>100</v>
      </c>
      <c r="K48" s="17">
        <v>63573468.1023974</v>
      </c>
      <c r="L48" s="17">
        <v>54469485.98130841</v>
      </c>
      <c r="M48" s="17">
        <v>62442488.82568061</v>
      </c>
      <c r="N48" s="7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</row>
    <row x14ac:dyDescent="0.25" r="49" customHeight="1" ht="18">
      <c r="A49" s="15">
        <v>45397.416666666664</v>
      </c>
      <c r="B49" s="12">
        <v>38915</v>
      </c>
      <c r="C49" s="12">
        <v>37332</v>
      </c>
      <c r="D49" s="12">
        <v>36802</v>
      </c>
      <c r="E49" s="12">
        <v>2444</v>
      </c>
      <c r="F49" s="12">
        <v>2483</v>
      </c>
      <c r="G49" s="12">
        <v>2483</v>
      </c>
      <c r="H49" s="16">
        <f>AVERAGE(E49:G49)*1000/49350</f>
      </c>
      <c r="I49" s="6" t="s">
        <v>12</v>
      </c>
      <c r="J49" s="30">
        <v>100</v>
      </c>
      <c r="K49" s="17">
        <v>77751224.69635628</v>
      </c>
      <c r="L49" s="17">
        <v>74588429.14979757</v>
      </c>
      <c r="M49" s="17">
        <v>73529502.0242915</v>
      </c>
      <c r="N49" s="7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x14ac:dyDescent="0.25" r="50" customHeight="1" ht="18">
      <c r="A50" s="15">
        <v>45398.416666666664</v>
      </c>
      <c r="B50" s="12">
        <v>42939</v>
      </c>
      <c r="C50" s="12">
        <v>35407</v>
      </c>
      <c r="D50" s="12">
        <v>23907</v>
      </c>
      <c r="E50" s="12">
        <v>2507</v>
      </c>
      <c r="F50" s="12">
        <v>2499</v>
      </c>
      <c r="G50" s="12">
        <v>2561</v>
      </c>
      <c r="H50" s="16">
        <f>AVERAGE(E50:G50)*1000/49350</f>
      </c>
      <c r="I50" s="6" t="s">
        <v>12</v>
      </c>
      <c r="J50" s="30">
        <v>150</v>
      </c>
      <c r="K50" s="17">
        <v>126016630.4347826</v>
      </c>
      <c r="L50" s="17">
        <v>103911847.82608695</v>
      </c>
      <c r="M50" s="17">
        <v>70161847.82608695</v>
      </c>
      <c r="N50" s="7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</row>
    <row x14ac:dyDescent="0.25" r="51" customHeight="1" ht="18">
      <c r="A51" s="15">
        <v>45398.625</v>
      </c>
      <c r="B51" s="12">
        <v>20606</v>
      </c>
      <c r="C51" s="12">
        <v>27765</v>
      </c>
      <c r="D51" s="12">
        <v>23444</v>
      </c>
      <c r="E51" s="12">
        <v>2507</v>
      </c>
      <c r="F51" s="12">
        <v>2499</v>
      </c>
      <c r="G51" s="12">
        <v>2561</v>
      </c>
      <c r="H51" s="16">
        <f>AVERAGE(E51:G51)*1000/49350</f>
      </c>
      <c r="I51" s="6" t="s">
        <v>12</v>
      </c>
      <c r="J51" s="30">
        <v>2</v>
      </c>
      <c r="K51" s="17">
        <v>806321.7391304347</v>
      </c>
      <c r="L51" s="17">
        <v>1086456.5217391304</v>
      </c>
      <c r="M51" s="17">
        <v>917373.9130434782</v>
      </c>
      <c r="N51" s="7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</row>
    <row x14ac:dyDescent="0.25" r="52" customHeight="1" ht="18">
      <c r="A52" s="15">
        <v>45399.416666666664</v>
      </c>
      <c r="B52" s="12">
        <v>8508</v>
      </c>
      <c r="C52" s="12">
        <v>9401</v>
      </c>
      <c r="D52" s="12">
        <v>11643</v>
      </c>
      <c r="E52" s="12">
        <v>2568</v>
      </c>
      <c r="F52" s="12">
        <v>2595</v>
      </c>
      <c r="G52" s="12">
        <v>2645</v>
      </c>
      <c r="H52" s="16">
        <f>AVERAGE(E52:G52)*1000/49350</f>
      </c>
      <c r="I52" s="6" t="s">
        <v>12</v>
      </c>
      <c r="J52" s="30">
        <v>5</v>
      </c>
      <c r="K52" s="17">
        <v>806614.6260245902</v>
      </c>
      <c r="L52" s="17">
        <v>891276.927510246</v>
      </c>
      <c r="M52" s="17">
        <v>1103833.3440061477</v>
      </c>
      <c r="N52" s="7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</row>
    <row x14ac:dyDescent="0.25" r="53" customHeight="1" ht="18">
      <c r="A53" s="15">
        <v>45400.416666666664</v>
      </c>
      <c r="B53" s="12">
        <v>5373</v>
      </c>
      <c r="C53" s="12">
        <v>5735</v>
      </c>
      <c r="D53" s="12">
        <v>6927</v>
      </c>
      <c r="E53" s="12">
        <v>2330</v>
      </c>
      <c r="F53" s="12">
        <v>2438</v>
      </c>
      <c r="G53" s="12">
        <v>2470</v>
      </c>
      <c r="H53" s="16">
        <f>AVERAGE(E53:G53)*1000/49350</f>
      </c>
      <c r="I53" s="6" t="s">
        <v>12</v>
      </c>
      <c r="J53" s="30">
        <v>15</v>
      </c>
      <c r="K53" s="17">
        <v>1648534.090909091</v>
      </c>
      <c r="L53" s="17">
        <v>1759602.272727273</v>
      </c>
      <c r="M53" s="17">
        <v>2125329.5454545454</v>
      </c>
      <c r="N53" s="7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</row>
    <row x14ac:dyDescent="0.25" r="54" customHeight="1" ht="18">
      <c r="A54" s="15">
        <v>45401.416666666664</v>
      </c>
      <c r="B54" s="12">
        <v>10684</v>
      </c>
      <c r="C54" s="12">
        <v>11381</v>
      </c>
      <c r="D54" s="12">
        <v>13510</v>
      </c>
      <c r="E54" s="12">
        <v>2601</v>
      </c>
      <c r="F54" s="12">
        <v>2463</v>
      </c>
      <c r="G54" s="12">
        <v>2541</v>
      </c>
      <c r="H54" s="16">
        <f>AVERAGE(E54:G54)*1000/49350</f>
      </c>
      <c r="I54" s="6" t="s">
        <v>12</v>
      </c>
      <c r="J54" s="30">
        <v>15</v>
      </c>
      <c r="K54" s="17">
        <v>3119854.4378698226</v>
      </c>
      <c r="L54" s="17">
        <v>3323386.6863905326</v>
      </c>
      <c r="M54" s="17">
        <v>3945079.881656805</v>
      </c>
      <c r="N54" s="7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</row>
    <row x14ac:dyDescent="0.25" r="55" customHeight="1" ht="18">
      <c r="A55" s="15">
        <v>45404.416666666664</v>
      </c>
      <c r="B55" s="12">
        <v>9788</v>
      </c>
      <c r="C55" s="12">
        <v>8787</v>
      </c>
      <c r="D55" s="12">
        <v>9430</v>
      </c>
      <c r="E55" s="12">
        <v>2559</v>
      </c>
      <c r="F55" s="12">
        <v>2540</v>
      </c>
      <c r="G55" s="12">
        <v>2547</v>
      </c>
      <c r="H55" s="16">
        <f>AVERAGE(E55:G55)*1000/49350</f>
      </c>
      <c r="I55" s="6" t="s">
        <v>12</v>
      </c>
      <c r="J55" s="30">
        <v>100</v>
      </c>
      <c r="K55" s="17">
        <v>18952568.663353387</v>
      </c>
      <c r="L55" s="17">
        <v>17014325.791263405</v>
      </c>
      <c r="M55" s="17">
        <v>18259370.91289563</v>
      </c>
      <c r="N55" s="7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</row>
    <row x14ac:dyDescent="0.25" r="56" customHeight="1" ht="18">
      <c r="A56" s="15">
        <v>45405.416666666664</v>
      </c>
      <c r="B56" s="12">
        <v>14426</v>
      </c>
      <c r="C56" s="12">
        <v>11871</v>
      </c>
      <c r="D56" s="12">
        <v>13358</v>
      </c>
      <c r="E56" s="12">
        <v>2494</v>
      </c>
      <c r="F56" s="12">
        <v>2590</v>
      </c>
      <c r="G56" s="12">
        <v>2532</v>
      </c>
      <c r="H56" s="16">
        <f>AVERAGE(E56:G56)*1000/49350</f>
      </c>
      <c r="I56" s="6" t="s">
        <v>12</v>
      </c>
      <c r="J56" s="30">
        <v>100</v>
      </c>
      <c r="K56" s="17">
        <v>28043189.338235296</v>
      </c>
      <c r="L56" s="17">
        <v>23076438.41911765</v>
      </c>
      <c r="M56" s="17">
        <v>25967068.014705885</v>
      </c>
      <c r="N56" s="7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</row>
    <row x14ac:dyDescent="0.25" r="57" customHeight="1" ht="18">
      <c r="A57" s="15">
        <v>45406.416666666664</v>
      </c>
      <c r="B57" s="12">
        <v>17831</v>
      </c>
      <c r="C57" s="12">
        <v>18588</v>
      </c>
      <c r="D57" s="12">
        <v>18999</v>
      </c>
      <c r="E57" s="12">
        <v>2663</v>
      </c>
      <c r="F57" s="12">
        <v>2506</v>
      </c>
      <c r="G57" s="12">
        <v>2654</v>
      </c>
      <c r="H57" s="16">
        <f>AVERAGE(E57:G57)*1000/49350</f>
      </c>
      <c r="I57" s="6" t="s">
        <v>12</v>
      </c>
      <c r="J57" s="30">
        <v>100</v>
      </c>
      <c r="K57" s="17">
        <v>33745104.819123104</v>
      </c>
      <c r="L57" s="17">
        <v>35177724.65805957</v>
      </c>
      <c r="M57" s="17">
        <v>35955540.713281356</v>
      </c>
      <c r="N57" s="7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</row>
    <row x14ac:dyDescent="0.25" r="58" customHeight="1" ht="18">
      <c r="A58" s="15">
        <v>45407.416666666664</v>
      </c>
      <c r="B58" s="12">
        <v>19603</v>
      </c>
      <c r="C58" s="12">
        <v>27108</v>
      </c>
      <c r="D58" s="12">
        <v>28516</v>
      </c>
      <c r="E58" s="12">
        <v>2594</v>
      </c>
      <c r="F58" s="12">
        <v>2579</v>
      </c>
      <c r="G58" s="12">
        <v>2617</v>
      </c>
      <c r="H58" s="16">
        <f>AVERAGE(E58:G58)*1000/49350</f>
      </c>
      <c r="I58" s="6" t="s">
        <v>12</v>
      </c>
      <c r="J58" s="30">
        <v>100</v>
      </c>
      <c r="K58" s="17">
        <v>37255765.72528883</v>
      </c>
      <c r="L58" s="17">
        <v>51519119.38382542</v>
      </c>
      <c r="M58" s="17">
        <v>54195042.36200257</v>
      </c>
      <c r="N58" s="7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x14ac:dyDescent="0.25" r="59" customHeight="1" ht="18">
      <c r="A59" s="15">
        <v>45408.416666666664</v>
      </c>
      <c r="B59" s="12">
        <v>38512</v>
      </c>
      <c r="C59" s="12">
        <v>32813</v>
      </c>
      <c r="D59" s="12">
        <v>24418</v>
      </c>
      <c r="E59" s="12">
        <v>2640</v>
      </c>
      <c r="F59" s="12">
        <v>2555</v>
      </c>
      <c r="G59" s="12">
        <v>2551</v>
      </c>
      <c r="H59" s="16">
        <f>AVERAGE(E59:G59)*1000/49350</f>
      </c>
      <c r="I59" s="6" t="s">
        <v>12</v>
      </c>
      <c r="J59" s="30">
        <v>100</v>
      </c>
      <c r="K59" s="17">
        <v>73608334.62432224</v>
      </c>
      <c r="L59" s="17">
        <v>62715784.27575523</v>
      </c>
      <c r="M59" s="17">
        <v>46670344.694035634</v>
      </c>
      <c r="N59" s="7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</sheetData>
  <mergeCells count="3">
    <mergeCell ref="A1:Q1"/>
    <mergeCell ref="B2:D2"/>
    <mergeCell ref="E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59"/>
  <sheetViews>
    <sheetView workbookViewId="0" tabSelected="1"/>
  </sheetViews>
  <sheetFormatPr defaultRowHeight="15" x14ac:dyDescent="0.25"/>
  <cols>
    <col min="1" max="1" style="21" width="22.862142857142857" customWidth="1" bestFit="1"/>
    <col min="2" max="2" style="20" width="11.576428571428572" customWidth="1" bestFit="1"/>
    <col min="3" max="3" style="20" width="11.576428571428572" customWidth="1" bestFit="1"/>
    <col min="4" max="4" style="20" width="11.576428571428572" customWidth="1" bestFit="1"/>
    <col min="5" max="5" style="20" width="11.576428571428572" customWidth="1" bestFit="1"/>
    <col min="6" max="6" style="20" width="11.576428571428572" customWidth="1" bestFit="1"/>
    <col min="7" max="7" style="20" width="11.576428571428572" customWidth="1" bestFit="1"/>
    <col min="8" max="8" style="22" width="12.005" customWidth="1" bestFit="1"/>
    <col min="9" max="9" style="23" width="13.005" customWidth="1" bestFit="1"/>
    <col min="10" max="10" style="21" width="13.005" customWidth="1" bestFit="1"/>
    <col min="11" max="11" style="24" width="11.576428571428572" customWidth="1" bestFit="1"/>
    <col min="12" max="12" style="24" width="11.576428571428572" customWidth="1" bestFit="1"/>
    <col min="13" max="13" style="24" width="11.576428571428572" customWidth="1" bestFit="1"/>
    <col min="14" max="14" style="20" width="11.576428571428572" customWidth="1" bestFit="1"/>
    <col min="15" max="15" style="23" width="13.005" customWidth="1" bestFit="1"/>
    <col min="16" max="16" style="23" width="13.005" customWidth="1" bestFit="1"/>
    <col min="17" max="17" style="23" width="13.005" customWidth="1" bestFit="1"/>
  </cols>
  <sheetData>
    <row x14ac:dyDescent="0.25" r="1" customHeight="1" ht="18">
      <c r="A1" s="2" t="s">
        <v>78</v>
      </c>
      <c r="B1" s="1"/>
      <c r="C1" s="1"/>
      <c r="D1" s="1"/>
      <c r="E1" s="1"/>
      <c r="F1" s="1"/>
      <c r="G1" s="1"/>
      <c r="H1" s="3"/>
      <c r="I1" s="4"/>
      <c r="J1" s="2"/>
      <c r="K1" s="5"/>
      <c r="L1" s="5"/>
      <c r="M1" s="5"/>
      <c r="N1" s="1"/>
      <c r="O1" s="4"/>
      <c r="P1" s="4"/>
      <c r="Q1" s="4"/>
    </row>
    <row x14ac:dyDescent="0.25" r="2" customHeight="1" ht="18">
      <c r="A2" s="8" t="s">
        <v>2</v>
      </c>
      <c r="B2" s="9" t="s">
        <v>3</v>
      </c>
      <c r="C2" s="9"/>
      <c r="D2" s="9"/>
      <c r="E2" s="9" t="s">
        <v>4</v>
      </c>
      <c r="F2" s="9"/>
      <c r="G2" s="9"/>
      <c r="H2" s="10"/>
      <c r="I2" s="6" t="s">
        <v>5</v>
      </c>
      <c r="J2" s="8" t="s">
        <v>6</v>
      </c>
      <c r="K2" s="11" t="s">
        <v>7</v>
      </c>
      <c r="L2" s="11"/>
      <c r="M2" s="11"/>
      <c r="N2" s="7" t="s">
        <v>18</v>
      </c>
      <c r="O2" s="6" t="s">
        <v>19</v>
      </c>
      <c r="P2" s="6"/>
      <c r="Q2" s="6"/>
    </row>
    <row x14ac:dyDescent="0.25" r="3" customHeight="1" ht="18">
      <c r="A3" s="8"/>
      <c r="B3" s="7" t="s">
        <v>8</v>
      </c>
      <c r="C3" s="7" t="s">
        <v>9</v>
      </c>
      <c r="D3" s="7" t="s">
        <v>10</v>
      </c>
      <c r="E3" s="12">
        <v>1</v>
      </c>
      <c r="F3" s="12">
        <v>2</v>
      </c>
      <c r="G3" s="12">
        <v>3</v>
      </c>
      <c r="H3" s="13" t="s">
        <v>11</v>
      </c>
      <c r="I3" s="6"/>
      <c r="J3" s="8"/>
      <c r="K3" s="11" t="s">
        <v>8</v>
      </c>
      <c r="L3" s="11" t="s">
        <v>9</v>
      </c>
      <c r="M3" s="11" t="s">
        <v>10</v>
      </c>
      <c r="N3" s="7"/>
      <c r="O3" s="6" t="s">
        <v>8</v>
      </c>
      <c r="P3" s="6" t="s">
        <v>9</v>
      </c>
      <c r="Q3" s="6" t="s">
        <v>10</v>
      </c>
    </row>
    <row x14ac:dyDescent="0.25" r="4" customHeight="1" ht="18">
      <c r="A4" s="15">
        <v>45341.625</v>
      </c>
      <c r="B4" s="12">
        <v>53440</v>
      </c>
      <c r="C4" s="12">
        <v>55259</v>
      </c>
      <c r="D4" s="12">
        <v>54718</v>
      </c>
      <c r="E4" s="12">
        <v>2227</v>
      </c>
      <c r="F4" s="12">
        <v>2388</v>
      </c>
      <c r="G4" s="12">
        <v>2329</v>
      </c>
      <c r="H4" s="16">
        <f>AVERAGE(E4:G4)*1000/47400</f>
      </c>
      <c r="I4" s="6" t="s">
        <v>12</v>
      </c>
      <c r="J4" s="30">
        <v>1</v>
      </c>
      <c r="K4" s="17">
        <v>1094350.2304147466</v>
      </c>
      <c r="L4" s="17">
        <v>1131599.9135944701</v>
      </c>
      <c r="M4" s="17">
        <v>1120521.2557603687</v>
      </c>
      <c r="N4" s="7"/>
      <c r="O4" s="6"/>
      <c r="P4" s="6"/>
      <c r="Q4" s="6"/>
    </row>
    <row x14ac:dyDescent="0.25" r="5" customHeight="1" ht="18">
      <c r="A5" s="15">
        <v>45342.395833333336</v>
      </c>
      <c r="B5" s="12">
        <v>39232</v>
      </c>
      <c r="C5" s="12">
        <v>42436</v>
      </c>
      <c r="D5" s="12">
        <v>42004</v>
      </c>
      <c r="E5" s="12">
        <v>1271</v>
      </c>
      <c r="F5" s="12">
        <v>1293</v>
      </c>
      <c r="G5" s="12">
        <v>1315</v>
      </c>
      <c r="H5" s="16">
        <f>AVERAGE(E5:G5)*1000/47400</f>
      </c>
      <c r="I5" s="6" t="s">
        <v>13</v>
      </c>
      <c r="J5" s="30">
        <v>1</v>
      </c>
      <c r="K5" s="17">
        <v>1438203.2482598608</v>
      </c>
      <c r="L5" s="17">
        <v>1555658.4686774942</v>
      </c>
      <c r="M5" s="17">
        <v>1539821.8097447795</v>
      </c>
      <c r="N5" s="7"/>
      <c r="O5" s="6"/>
      <c r="P5" s="6"/>
      <c r="Q5" s="6"/>
    </row>
    <row x14ac:dyDescent="0.25" r="6" customHeight="1" ht="18">
      <c r="A6" s="15">
        <v>45343.395833333336</v>
      </c>
      <c r="B6" s="12">
        <v>14685</v>
      </c>
      <c r="C6" s="12">
        <v>14625</v>
      </c>
      <c r="D6" s="12">
        <v>16139</v>
      </c>
      <c r="E6" s="12">
        <v>2458</v>
      </c>
      <c r="F6" s="12">
        <v>2448</v>
      </c>
      <c r="G6" s="12">
        <v>2527</v>
      </c>
      <c r="H6" s="16">
        <f>AVERAGE(E6:G6)*1000/47400</f>
      </c>
      <c r="I6" s="6" t="s">
        <v>12</v>
      </c>
      <c r="J6" s="30">
        <v>10</v>
      </c>
      <c r="K6" s="17">
        <v>2809373.066056774</v>
      </c>
      <c r="L6" s="17">
        <v>2797894.5244181356</v>
      </c>
      <c r="M6" s="17">
        <v>3087536.391766447</v>
      </c>
      <c r="N6" s="12">
        <v>1</v>
      </c>
      <c r="O6" s="6" t="s">
        <v>79</v>
      </c>
      <c r="P6" s="6" t="s">
        <v>80</v>
      </c>
      <c r="Q6" s="6" t="s">
        <v>81</v>
      </c>
    </row>
    <row x14ac:dyDescent="0.25" r="7" customHeight="1" ht="18">
      <c r="A7" s="15">
        <v>45344.395833333336</v>
      </c>
      <c r="B7" s="12">
        <v>29712</v>
      </c>
      <c r="C7" s="12">
        <v>30053</v>
      </c>
      <c r="D7" s="12">
        <v>29773</v>
      </c>
      <c r="E7" s="12">
        <v>2632</v>
      </c>
      <c r="F7" s="12">
        <v>2515</v>
      </c>
      <c r="G7" s="12">
        <v>2523</v>
      </c>
      <c r="H7" s="16">
        <f>AVERAGE(E7:G7)*1000/47400</f>
      </c>
      <c r="I7" s="6" t="s">
        <v>12</v>
      </c>
      <c r="J7" s="30">
        <v>10</v>
      </c>
      <c r="K7" s="17">
        <v>5508535.071707954</v>
      </c>
      <c r="L7" s="17">
        <v>5571755.671447197</v>
      </c>
      <c r="M7" s="17">
        <v>5519844.328552804</v>
      </c>
      <c r="N7" s="12">
        <v>1</v>
      </c>
      <c r="O7" s="6" t="s">
        <v>23</v>
      </c>
      <c r="P7" s="6" t="s">
        <v>24</v>
      </c>
      <c r="Q7" s="6" t="s">
        <v>25</v>
      </c>
    </row>
    <row x14ac:dyDescent="0.25" r="8" customHeight="1" ht="18">
      <c r="A8" s="15">
        <v>45345.395833333336</v>
      </c>
      <c r="B8" s="12">
        <v>31353</v>
      </c>
      <c r="C8" s="12">
        <v>33149</v>
      </c>
      <c r="D8" s="12">
        <v>31288</v>
      </c>
      <c r="E8" s="12">
        <v>2632</v>
      </c>
      <c r="F8" s="12">
        <v>2515</v>
      </c>
      <c r="G8" s="12">
        <v>2523</v>
      </c>
      <c r="H8" s="16">
        <f>AVERAGE(E8:G8)*1000/47400</f>
      </c>
      <c r="I8" s="6" t="s">
        <v>12</v>
      </c>
      <c r="J8" s="30">
        <v>20</v>
      </c>
      <c r="K8" s="17">
        <v>11625545.241199479</v>
      </c>
      <c r="L8" s="17">
        <v>12291493.611473273</v>
      </c>
      <c r="M8" s="17">
        <v>11601443.546284225</v>
      </c>
      <c r="N8" s="12">
        <v>11</v>
      </c>
      <c r="O8" s="6" t="s">
        <v>82</v>
      </c>
      <c r="P8" s="6" t="s">
        <v>83</v>
      </c>
      <c r="Q8" s="6" t="s">
        <v>84</v>
      </c>
    </row>
    <row x14ac:dyDescent="0.25" r="9" customHeight="1" ht="18">
      <c r="A9" s="15">
        <v>45348.395833333336</v>
      </c>
      <c r="B9" s="12">
        <v>15764</v>
      </c>
      <c r="C9" s="12">
        <v>20290</v>
      </c>
      <c r="D9" s="12">
        <v>18503</v>
      </c>
      <c r="E9" s="12">
        <v>2395</v>
      </c>
      <c r="F9" s="12">
        <v>2371</v>
      </c>
      <c r="G9" s="12">
        <v>2340</v>
      </c>
      <c r="H9" s="16">
        <f>AVERAGE(E9:G9)*1000/47400</f>
      </c>
      <c r="I9" s="6" t="s">
        <v>12</v>
      </c>
      <c r="J9" s="30">
        <v>100</v>
      </c>
      <c r="K9" s="17">
        <v>31545747.255840138</v>
      </c>
      <c r="L9" s="17">
        <v>40602842.66816775</v>
      </c>
      <c r="M9" s="17">
        <v>37026830.84717141</v>
      </c>
      <c r="N9" s="12">
        <v>11</v>
      </c>
      <c r="O9" s="6" t="s">
        <v>85</v>
      </c>
      <c r="P9" s="6" t="s">
        <v>86</v>
      </c>
      <c r="Q9" s="6" t="s">
        <v>87</v>
      </c>
    </row>
    <row x14ac:dyDescent="0.25" r="10" customHeight="1" ht="18">
      <c r="A10" s="15">
        <v>45349.395833333336</v>
      </c>
      <c r="B10" s="12">
        <v>24318</v>
      </c>
      <c r="C10" s="12">
        <v>21809</v>
      </c>
      <c r="D10" s="12">
        <v>18730</v>
      </c>
      <c r="E10" s="12">
        <v>2550</v>
      </c>
      <c r="F10" s="12">
        <v>2504</v>
      </c>
      <c r="G10" s="12">
        <v>2552</v>
      </c>
      <c r="H10" s="16">
        <f>AVERAGE(E10:G10)*1000/47400</f>
      </c>
      <c r="I10" s="6" t="s">
        <v>12</v>
      </c>
      <c r="J10" s="30">
        <v>100</v>
      </c>
      <c r="K10" s="17">
        <v>45464364.975019716</v>
      </c>
      <c r="L10" s="17">
        <v>40773597.16013673</v>
      </c>
      <c r="M10" s="17">
        <v>35017170.65474625</v>
      </c>
      <c r="N10" s="12">
        <v>2</v>
      </c>
      <c r="O10" s="6" t="s">
        <v>23</v>
      </c>
      <c r="P10" s="6" t="s">
        <v>24</v>
      </c>
      <c r="Q10" s="6" t="s">
        <v>25</v>
      </c>
    </row>
    <row x14ac:dyDescent="0.25" r="11" customHeight="1" ht="18">
      <c r="A11" s="15">
        <v>45349.75</v>
      </c>
      <c r="B11" s="12">
        <v>85074</v>
      </c>
      <c r="C11" s="12">
        <v>64825</v>
      </c>
      <c r="D11" s="12">
        <v>58606</v>
      </c>
      <c r="E11" s="12">
        <v>2550</v>
      </c>
      <c r="F11" s="12">
        <v>2504</v>
      </c>
      <c r="G11" s="12">
        <v>2552</v>
      </c>
      <c r="H11" s="16">
        <f>AVERAGE(E11:G11)*1000/47400</f>
      </c>
      <c r="I11" s="6" t="s">
        <v>12</v>
      </c>
      <c r="J11" s="30">
        <v>1.0076841547429782</v>
      </c>
      <c r="K11" s="17">
        <v>1602745.46899841</v>
      </c>
      <c r="L11" s="17">
        <v>1221265.8982511924</v>
      </c>
      <c r="M11" s="17">
        <v>1104103.4976152624</v>
      </c>
      <c r="N11" s="12">
        <v>2</v>
      </c>
      <c r="O11" s="6" t="s">
        <v>71</v>
      </c>
      <c r="P11" s="6" t="s">
        <v>72</v>
      </c>
      <c r="Q11" s="6" t="s">
        <v>73</v>
      </c>
    </row>
    <row x14ac:dyDescent="0.25" r="12" customHeight="1" ht="18">
      <c r="A12" s="15">
        <v>45350.395833333336</v>
      </c>
      <c r="B12" s="12">
        <v>35635</v>
      </c>
      <c r="C12" s="12">
        <v>27413</v>
      </c>
      <c r="D12" s="12">
        <v>25642</v>
      </c>
      <c r="E12" s="12">
        <v>2599</v>
      </c>
      <c r="F12" s="12">
        <v>2587</v>
      </c>
      <c r="G12" s="12">
        <v>2639</v>
      </c>
      <c r="H12" s="16">
        <f>AVERAGE(E12:G12)*1000/47400</f>
      </c>
      <c r="I12" s="6" t="s">
        <v>12</v>
      </c>
      <c r="J12" s="30">
        <v>2</v>
      </c>
      <c r="K12" s="17">
        <v>1295155.7827476037</v>
      </c>
      <c r="L12" s="17">
        <v>996326.7987220446</v>
      </c>
      <c r="M12" s="17">
        <v>931959.7188498401</v>
      </c>
      <c r="N12" s="12">
        <v>2</v>
      </c>
      <c r="O12" s="6" t="s">
        <v>41</v>
      </c>
      <c r="P12" s="6" t="s">
        <v>42</v>
      </c>
      <c r="Q12" s="6" t="s">
        <v>43</v>
      </c>
    </row>
    <row x14ac:dyDescent="0.25" r="13" customHeight="1" ht="18">
      <c r="A13" s="15">
        <v>45351.395833333336</v>
      </c>
      <c r="B13" s="12">
        <v>72665</v>
      </c>
      <c r="C13" s="12">
        <v>56616</v>
      </c>
      <c r="D13" s="12">
        <v>45429</v>
      </c>
      <c r="E13" s="12">
        <v>2647</v>
      </c>
      <c r="F13" s="12">
        <v>2666</v>
      </c>
      <c r="G13" s="12">
        <v>2565</v>
      </c>
      <c r="H13" s="16">
        <f>AVERAGE(E13:G13)*1000/47400</f>
      </c>
      <c r="I13" s="6" t="s">
        <v>12</v>
      </c>
      <c r="J13" s="30">
        <v>3</v>
      </c>
      <c r="K13" s="17">
        <v>3934867.8598629097</v>
      </c>
      <c r="L13" s="17">
        <v>3065801.6755521707</v>
      </c>
      <c r="M13" s="17">
        <v>2460016.679360244</v>
      </c>
      <c r="N13" s="12">
        <v>12</v>
      </c>
      <c r="O13" s="6" t="s">
        <v>82</v>
      </c>
      <c r="P13" s="6" t="s">
        <v>83</v>
      </c>
      <c r="Q13" s="6" t="s">
        <v>84</v>
      </c>
    </row>
    <row x14ac:dyDescent="0.25" r="14" customHeight="1" ht="18">
      <c r="A14" s="15">
        <v>45352.395833333336</v>
      </c>
      <c r="B14" s="12">
        <v>51200</v>
      </c>
      <c r="C14" s="12">
        <v>40157</v>
      </c>
      <c r="D14" s="12">
        <v>33152</v>
      </c>
      <c r="E14" s="12">
        <v>2474</v>
      </c>
      <c r="F14" s="12">
        <v>2453</v>
      </c>
      <c r="G14" s="12">
        <v>2516</v>
      </c>
      <c r="H14" s="16">
        <f>AVERAGE(E14:G14)*1000/47400</f>
      </c>
      <c r="I14" s="6" t="s">
        <v>12</v>
      </c>
      <c r="J14" s="30">
        <v>10</v>
      </c>
      <c r="K14" s="17">
        <v>9781862.152357921</v>
      </c>
      <c r="L14" s="17">
        <v>7672074.969770255</v>
      </c>
      <c r="M14" s="17">
        <v>6333755.743651753</v>
      </c>
      <c r="N14" s="12">
        <v>12</v>
      </c>
      <c r="O14" s="6" t="s">
        <v>88</v>
      </c>
      <c r="P14" s="6" t="s">
        <v>89</v>
      </c>
      <c r="Q14" s="6" t="s">
        <v>90</v>
      </c>
    </row>
    <row x14ac:dyDescent="0.25" r="15" customHeight="1" ht="18">
      <c r="A15" s="15">
        <v>45355.395833333336</v>
      </c>
      <c r="B15" s="12">
        <v>90151</v>
      </c>
      <c r="C15" s="12">
        <v>76299</v>
      </c>
      <c r="D15" s="12">
        <v>70857</v>
      </c>
      <c r="E15" s="12">
        <v>2402</v>
      </c>
      <c r="F15" s="12">
        <v>2380</v>
      </c>
      <c r="G15" s="12">
        <v>2366</v>
      </c>
      <c r="H15" s="16">
        <f>AVERAGE(E15:G15)*1000/47400</f>
      </c>
      <c r="I15" s="6" t="s">
        <v>12</v>
      </c>
      <c r="J15" s="30">
        <v>19.999999999999996</v>
      </c>
      <c r="K15" s="17">
        <v>35868696.69837717</v>
      </c>
      <c r="L15" s="17">
        <v>30357352.546166763</v>
      </c>
      <c r="M15" s="17">
        <v>28192124.790151093</v>
      </c>
      <c r="N15" s="12">
        <v>3</v>
      </c>
      <c r="O15" s="6" t="s">
        <v>88</v>
      </c>
      <c r="P15" s="6" t="s">
        <v>89</v>
      </c>
      <c r="Q15" s="6" t="s">
        <v>90</v>
      </c>
    </row>
    <row x14ac:dyDescent="0.25" r="16" customHeight="1" ht="18">
      <c r="A16" s="15">
        <v>45356.395833333336</v>
      </c>
      <c r="B16" s="12">
        <v>45926</v>
      </c>
      <c r="C16" s="12">
        <v>45018</v>
      </c>
      <c r="D16" s="12">
        <v>38905</v>
      </c>
      <c r="E16" s="12">
        <v>2723</v>
      </c>
      <c r="F16" s="12">
        <v>2624</v>
      </c>
      <c r="G16" s="12">
        <v>2557</v>
      </c>
      <c r="H16" s="16">
        <f>AVERAGE(E16:G16)*1000/47400</f>
      </c>
      <c r="I16" s="6" t="s">
        <v>12</v>
      </c>
      <c r="J16" s="30">
        <v>50</v>
      </c>
      <c r="K16" s="17">
        <v>41312482.2874494</v>
      </c>
      <c r="L16" s="17">
        <v>40495695.850202434</v>
      </c>
      <c r="M16" s="17">
        <v>34996780.11133604</v>
      </c>
      <c r="N16" s="12">
        <v>4</v>
      </c>
      <c r="O16" s="6" t="s">
        <v>79</v>
      </c>
      <c r="P16" s="6" t="s">
        <v>80</v>
      </c>
      <c r="Q16" s="6" t="s">
        <v>81</v>
      </c>
    </row>
    <row x14ac:dyDescent="0.25" r="17" customHeight="1" ht="18">
      <c r="A17" s="15">
        <v>45357.395833333336</v>
      </c>
      <c r="B17" s="12">
        <v>36795</v>
      </c>
      <c r="C17" s="12">
        <v>31098</v>
      </c>
      <c r="D17" s="12">
        <v>29372</v>
      </c>
      <c r="E17" s="12">
        <v>2796</v>
      </c>
      <c r="F17" s="12">
        <v>2699</v>
      </c>
      <c r="G17" s="12">
        <v>2754</v>
      </c>
      <c r="H17" s="16">
        <f>AVERAGE(E17:G17)*1000/47400</f>
      </c>
      <c r="I17" s="6" t="s">
        <v>12</v>
      </c>
      <c r="J17" s="30">
        <v>75</v>
      </c>
      <c r="K17" s="17">
        <v>47571666.26257729</v>
      </c>
      <c r="L17" s="17">
        <v>40206106.19469027</v>
      </c>
      <c r="M17" s="17">
        <v>37974588.43496182</v>
      </c>
      <c r="N17" s="12">
        <v>5</v>
      </c>
      <c r="O17" s="6" t="s">
        <v>67</v>
      </c>
      <c r="P17" s="6" t="s">
        <v>68</v>
      </c>
      <c r="Q17" s="6" t="s">
        <v>69</v>
      </c>
    </row>
    <row x14ac:dyDescent="0.25" r="18" customHeight="1" ht="18">
      <c r="A18" s="15">
        <v>45357.75</v>
      </c>
      <c r="B18" s="12">
        <v>54773</v>
      </c>
      <c r="C18" s="12">
        <v>59946</v>
      </c>
      <c r="D18" s="12">
        <v>54172</v>
      </c>
      <c r="E18" s="12">
        <v>2639</v>
      </c>
      <c r="F18" s="12">
        <v>2550</v>
      </c>
      <c r="G18" s="12">
        <v>2603</v>
      </c>
      <c r="H18" s="16">
        <f>AVERAGE(E18:G18)*1000/47400</f>
      </c>
      <c r="I18" s="6" t="s">
        <v>12</v>
      </c>
      <c r="J18" s="30">
        <v>1</v>
      </c>
      <c r="K18" s="17">
        <v>999579.1324435318</v>
      </c>
      <c r="L18" s="17">
        <v>1093983.7268993838</v>
      </c>
      <c r="M18" s="17">
        <v>988611.1909650923</v>
      </c>
      <c r="N18" s="12">
        <v>5</v>
      </c>
      <c r="O18" s="41" t="s">
        <v>38</v>
      </c>
      <c r="P18" s="41" t="s">
        <v>39</v>
      </c>
      <c r="Q18" s="41" t="s">
        <v>40</v>
      </c>
    </row>
    <row x14ac:dyDescent="0.25" r="19" customHeight="1" ht="18">
      <c r="A19" s="15">
        <v>45358.375</v>
      </c>
      <c r="B19" s="12">
        <v>35235</v>
      </c>
      <c r="C19" s="12">
        <v>35554</v>
      </c>
      <c r="D19" s="12">
        <v>36213</v>
      </c>
      <c r="E19" s="12">
        <v>2480</v>
      </c>
      <c r="F19" s="12">
        <v>2381</v>
      </c>
      <c r="G19" s="12">
        <v>2327</v>
      </c>
      <c r="H19" s="16">
        <f>AVERAGE(E19:G19)*1000/47400</f>
      </c>
      <c r="I19" s="6" t="s">
        <v>12</v>
      </c>
      <c r="J19" s="30">
        <v>1.8449691991786445</v>
      </c>
      <c r="K19" s="17">
        <v>1286041.3244353181</v>
      </c>
      <c r="L19" s="17">
        <v>1297684.4969199176</v>
      </c>
      <c r="M19" s="17">
        <v>1321737.320328542</v>
      </c>
      <c r="N19" s="12">
        <v>5</v>
      </c>
      <c r="O19" s="6" t="s">
        <v>91</v>
      </c>
      <c r="P19" s="6" t="s">
        <v>92</v>
      </c>
      <c r="Q19" s="6" t="s">
        <v>93</v>
      </c>
    </row>
    <row x14ac:dyDescent="0.25" r="20" customHeight="1" ht="18">
      <c r="A20" s="15">
        <v>45359.375</v>
      </c>
      <c r="B20" s="12">
        <v>42742</v>
      </c>
      <c r="C20" s="12">
        <v>42158</v>
      </c>
      <c r="D20" s="12">
        <v>42567</v>
      </c>
      <c r="E20" s="12">
        <v>2480</v>
      </c>
      <c r="F20" s="12">
        <v>2381</v>
      </c>
      <c r="G20" s="12">
        <v>2327</v>
      </c>
      <c r="H20" s="16">
        <f>AVERAGE(E20:G20)*1000/47400</f>
      </c>
      <c r="I20" s="6" t="s">
        <v>12</v>
      </c>
      <c r="J20" s="30">
        <v>3</v>
      </c>
      <c r="K20" s="17">
        <v>2536691.3188647744</v>
      </c>
      <c r="L20" s="17">
        <v>2502031.552587646</v>
      </c>
      <c r="M20" s="17">
        <v>2526305.2587646074</v>
      </c>
      <c r="N20" s="12">
        <v>6</v>
      </c>
      <c r="O20" s="6" t="s">
        <v>67</v>
      </c>
      <c r="P20" s="6" t="s">
        <v>68</v>
      </c>
      <c r="Q20" s="6" t="s">
        <v>69</v>
      </c>
    </row>
    <row x14ac:dyDescent="0.25" r="21" customHeight="1" ht="18">
      <c r="A21" s="15">
        <v>45363.375</v>
      </c>
      <c r="B21" s="12">
        <v>34407</v>
      </c>
      <c r="C21" s="12">
        <v>32703</v>
      </c>
      <c r="D21" s="12">
        <v>34616</v>
      </c>
      <c r="E21" s="12">
        <v>2284</v>
      </c>
      <c r="F21" s="12">
        <v>2309</v>
      </c>
      <c r="G21" s="12">
        <v>2349</v>
      </c>
      <c r="H21" s="16">
        <f>AVERAGE(E21:G21)*1000/49350</f>
      </c>
      <c r="I21" s="6" t="s">
        <v>12</v>
      </c>
      <c r="J21" s="30">
        <v>50</v>
      </c>
      <c r="K21" s="17">
        <v>36689400.38893691</v>
      </c>
      <c r="L21" s="17">
        <v>34872364.95246326</v>
      </c>
      <c r="M21" s="17">
        <v>36912264.47709594</v>
      </c>
      <c r="N21" s="12">
        <v>6</v>
      </c>
      <c r="O21" s="6" t="s">
        <v>91</v>
      </c>
      <c r="P21" s="6" t="s">
        <v>92</v>
      </c>
      <c r="Q21" s="6" t="s">
        <v>93</v>
      </c>
    </row>
    <row x14ac:dyDescent="0.25" r="22" customHeight="1" ht="18">
      <c r="A22" s="15">
        <v>45364.375</v>
      </c>
      <c r="B22" s="12">
        <v>42612</v>
      </c>
      <c r="C22" s="12">
        <v>36916</v>
      </c>
      <c r="D22" s="12">
        <v>44035</v>
      </c>
      <c r="E22" s="12">
        <v>2272</v>
      </c>
      <c r="F22" s="12">
        <v>2204</v>
      </c>
      <c r="G22" s="12">
        <v>2254</v>
      </c>
      <c r="H22" s="16">
        <f>AVERAGE(E22:G22)*1000/49350</f>
      </c>
      <c r="I22" s="6" t="s">
        <v>12</v>
      </c>
      <c r="J22" s="30">
        <v>50</v>
      </c>
      <c r="K22" s="17">
        <v>46870034.17533433</v>
      </c>
      <c r="L22" s="17">
        <v>40604857.3551263</v>
      </c>
      <c r="M22" s="17">
        <v>48435228.45468053</v>
      </c>
      <c r="N22" s="12">
        <v>7</v>
      </c>
      <c r="O22" s="6" t="s">
        <v>94</v>
      </c>
      <c r="P22" s="6" t="s">
        <v>95</v>
      </c>
      <c r="Q22" s="6" t="s">
        <v>95</v>
      </c>
    </row>
    <row x14ac:dyDescent="0.25" r="23" customHeight="1" ht="18">
      <c r="A23" s="15">
        <v>45365.375</v>
      </c>
      <c r="B23" s="12">
        <v>45262</v>
      </c>
      <c r="C23" s="12">
        <v>44264</v>
      </c>
      <c r="D23" s="12">
        <v>43643</v>
      </c>
      <c r="E23" s="12">
        <v>2462</v>
      </c>
      <c r="F23" s="12">
        <v>2461</v>
      </c>
      <c r="G23" s="12">
        <v>2486</v>
      </c>
      <c r="H23" s="16">
        <f>AVERAGE(E23:G23)*1000/49350</f>
      </c>
      <c r="I23" s="6" t="s">
        <v>12</v>
      </c>
      <c r="J23" s="30">
        <v>50</v>
      </c>
      <c r="K23" s="17">
        <v>45222291.13240653</v>
      </c>
      <c r="L23" s="17">
        <v>44225166.68916183</v>
      </c>
      <c r="M23" s="17">
        <v>43604711.4995276</v>
      </c>
      <c r="N23" s="7"/>
      <c r="O23" s="6"/>
      <c r="P23" s="6"/>
      <c r="Q23" s="6"/>
    </row>
    <row x14ac:dyDescent="0.25" r="24" customHeight="1" ht="18">
      <c r="A24" s="15">
        <v>45366.375</v>
      </c>
      <c r="B24" s="12">
        <v>52799</v>
      </c>
      <c r="C24" s="12">
        <v>44812</v>
      </c>
      <c r="D24" s="12">
        <v>48484</v>
      </c>
      <c r="E24" s="7"/>
      <c r="F24" s="7"/>
      <c r="G24" s="7"/>
      <c r="H24" s="16">
        <v>48.79</v>
      </c>
      <c r="I24" s="6" t="s">
        <v>12</v>
      </c>
      <c r="J24" s="30">
        <v>50</v>
      </c>
      <c r="K24" s="17">
        <v>54108423.857347816</v>
      </c>
      <c r="L24" s="17">
        <v>45923344.94773519</v>
      </c>
      <c r="M24" s="17">
        <v>49686411.14982578</v>
      </c>
      <c r="N24" s="7"/>
      <c r="O24" s="6"/>
      <c r="P24" s="6"/>
      <c r="Q24" s="6"/>
    </row>
    <row x14ac:dyDescent="0.25" r="25" customHeight="1" ht="18">
      <c r="A25" s="15">
        <v>45366.708333333336</v>
      </c>
      <c r="B25" s="12">
        <v>66945</v>
      </c>
      <c r="C25" s="12">
        <v>96433</v>
      </c>
      <c r="D25" s="12">
        <v>67615</v>
      </c>
      <c r="E25" s="7"/>
      <c r="F25" s="7"/>
      <c r="G25" s="7"/>
      <c r="H25" s="16">
        <v>48.79</v>
      </c>
      <c r="I25" s="6" t="s">
        <v>12</v>
      </c>
      <c r="J25" s="30">
        <v>1</v>
      </c>
      <c r="K25" s="17">
        <v>1372104.9395367904</v>
      </c>
      <c r="L25" s="17">
        <v>1976491.0842385734</v>
      </c>
      <c r="M25" s="17">
        <v>1385837.261733962</v>
      </c>
      <c r="N25" s="7"/>
      <c r="O25" s="6"/>
      <c r="P25" s="6"/>
      <c r="Q25" s="6"/>
    </row>
    <row x14ac:dyDescent="0.25" r="26" customHeight="1" ht="18">
      <c r="A26" s="15">
        <v>45367.5</v>
      </c>
      <c r="B26" s="12">
        <v>42433</v>
      </c>
      <c r="C26" s="12">
        <v>43080</v>
      </c>
      <c r="D26" s="12">
        <v>38574</v>
      </c>
      <c r="E26" s="12">
        <v>1147</v>
      </c>
      <c r="F26" s="12">
        <v>1132</v>
      </c>
      <c r="G26" s="12">
        <v>1201</v>
      </c>
      <c r="H26" s="16">
        <f>AVERAGE(E26:G26)*1000/49350</f>
      </c>
      <c r="I26" s="6" t="s">
        <v>13</v>
      </c>
      <c r="J26" s="30">
        <v>1</v>
      </c>
      <c r="K26" s="17">
        <v>1805231.5086206896</v>
      </c>
      <c r="L26" s="17">
        <v>1832756.8965517243</v>
      </c>
      <c r="M26" s="17">
        <v>1641057.6724137932</v>
      </c>
      <c r="N26" s="7"/>
      <c r="O26" s="6"/>
      <c r="P26" s="6"/>
      <c r="Q26" s="6"/>
    </row>
    <row x14ac:dyDescent="0.25" r="27" customHeight="1" ht="18">
      <c r="A27" s="15">
        <v>45368.5</v>
      </c>
      <c r="B27" s="12">
        <v>26468</v>
      </c>
      <c r="C27" s="12">
        <v>23268</v>
      </c>
      <c r="D27" s="12">
        <v>21016</v>
      </c>
      <c r="E27" s="12">
        <v>419</v>
      </c>
      <c r="F27" s="12">
        <v>410</v>
      </c>
      <c r="G27" s="12">
        <v>435</v>
      </c>
      <c r="H27" s="16">
        <f>AVERAGE(E27:G27)*1000/49350</f>
      </c>
      <c r="I27" s="6" t="s">
        <v>53</v>
      </c>
      <c r="J27" s="30">
        <v>1</v>
      </c>
      <c r="K27" s="17">
        <v>3100148.259493671</v>
      </c>
      <c r="L27" s="17">
        <v>2725338.1329113925</v>
      </c>
      <c r="M27" s="17">
        <v>2461565.5063291136</v>
      </c>
      <c r="N27" s="7"/>
      <c r="O27" s="6"/>
      <c r="P27" s="6"/>
      <c r="Q27" s="6"/>
    </row>
    <row x14ac:dyDescent="0.25" r="28" customHeight="1" ht="18">
      <c r="A28" s="15">
        <v>45369.416666666664</v>
      </c>
      <c r="B28" s="12">
        <v>19069</v>
      </c>
      <c r="C28" s="12">
        <v>17776</v>
      </c>
      <c r="D28" s="12">
        <v>14189</v>
      </c>
      <c r="E28" s="12">
        <v>2384</v>
      </c>
      <c r="F28" s="12">
        <v>2445</v>
      </c>
      <c r="G28" s="12">
        <v>2453</v>
      </c>
      <c r="H28" s="16">
        <f>AVERAGE(E28:G28)*1000/49350</f>
      </c>
      <c r="I28" s="6" t="s">
        <v>12</v>
      </c>
      <c r="J28" s="30">
        <v>20</v>
      </c>
      <c r="K28" s="17">
        <v>7753818.868442736</v>
      </c>
      <c r="L28" s="17">
        <v>7228060.422960725</v>
      </c>
      <c r="M28" s="17">
        <v>5769517.852238396</v>
      </c>
      <c r="N28" s="7"/>
      <c r="O28" s="6"/>
      <c r="P28" s="6"/>
      <c r="Q28" s="6"/>
    </row>
    <row x14ac:dyDescent="0.25" r="29" customHeight="1" ht="18">
      <c r="A29" s="15">
        <v>45370.416666666664</v>
      </c>
      <c r="B29" s="12">
        <v>32319</v>
      </c>
      <c r="C29" s="12">
        <v>30368</v>
      </c>
      <c r="D29" s="12">
        <v>27620</v>
      </c>
      <c r="E29" s="12">
        <v>2514</v>
      </c>
      <c r="F29" s="12">
        <v>2431</v>
      </c>
      <c r="G29" s="12">
        <v>2517</v>
      </c>
      <c r="H29" s="16">
        <f>AVERAGE(E29:G29)*1000/49350</f>
      </c>
      <c r="I29" s="6" t="s">
        <v>12</v>
      </c>
      <c r="J29" s="30">
        <v>20</v>
      </c>
      <c r="K29" s="17">
        <v>12824518.761726078</v>
      </c>
      <c r="L29" s="17">
        <v>12050341.463414632</v>
      </c>
      <c r="M29" s="17">
        <v>10959906.191369604</v>
      </c>
      <c r="N29" s="7"/>
      <c r="O29" s="6"/>
      <c r="P29" s="6"/>
      <c r="Q29" s="6"/>
    </row>
    <row x14ac:dyDescent="0.25" r="30" customHeight="1" ht="18">
      <c r="A30" s="15">
        <v>45371.416666666664</v>
      </c>
      <c r="B30" s="12">
        <v>25585</v>
      </c>
      <c r="C30" s="12">
        <v>28155</v>
      </c>
      <c r="D30" s="12">
        <v>23158</v>
      </c>
      <c r="E30" s="12">
        <v>2506</v>
      </c>
      <c r="F30" s="12">
        <v>2532</v>
      </c>
      <c r="G30" s="12">
        <v>2476</v>
      </c>
      <c r="H30" s="16">
        <f>AVERAGE(E30:G30)*1000/49350</f>
      </c>
      <c r="I30" s="6" t="s">
        <v>12</v>
      </c>
      <c r="J30" s="30">
        <v>50</v>
      </c>
      <c r="K30" s="17">
        <v>25205345.022624437</v>
      </c>
      <c r="L30" s="17">
        <v>27737208.876763377</v>
      </c>
      <c r="M30" s="17">
        <v>22814359.196167156</v>
      </c>
      <c r="N30" s="7"/>
      <c r="O30" s="6"/>
      <c r="P30" s="6"/>
      <c r="Q30" s="6"/>
    </row>
    <row x14ac:dyDescent="0.25" r="31" customHeight="1" ht="18">
      <c r="A31" s="15">
        <v>45372.416666666664</v>
      </c>
      <c r="B31" s="12">
        <v>39005</v>
      </c>
      <c r="C31" s="12">
        <v>41756</v>
      </c>
      <c r="D31" s="12">
        <v>37810</v>
      </c>
      <c r="E31" s="12">
        <v>2056</v>
      </c>
      <c r="F31" s="12">
        <v>2163</v>
      </c>
      <c r="G31" s="12">
        <v>2163</v>
      </c>
      <c r="H31" s="16">
        <f>AVERAGE(E31:G31)*1000/49350</f>
      </c>
      <c r="I31" s="6" t="s">
        <v>12</v>
      </c>
      <c r="J31" s="30">
        <v>50</v>
      </c>
      <c r="K31" s="17">
        <v>45242010.733312435</v>
      </c>
      <c r="L31" s="17">
        <v>48432903.47853337</v>
      </c>
      <c r="M31" s="17">
        <v>43855926.82544656</v>
      </c>
      <c r="N31" s="7"/>
      <c r="O31" s="6"/>
      <c r="P31" s="6"/>
      <c r="Q31" s="6"/>
    </row>
    <row x14ac:dyDescent="0.25" r="32" customHeight="1" ht="18">
      <c r="A32" s="15">
        <v>45373.416666666664</v>
      </c>
      <c r="B32" s="12">
        <v>30460</v>
      </c>
      <c r="C32" s="12">
        <v>46882</v>
      </c>
      <c r="D32" s="12">
        <v>38768</v>
      </c>
      <c r="E32" s="12">
        <v>2414</v>
      </c>
      <c r="F32" s="12">
        <v>2444</v>
      </c>
      <c r="G32" s="12">
        <v>2508</v>
      </c>
      <c r="H32" s="16">
        <f>AVERAGE(E32:G32)*1000/49350</f>
      </c>
      <c r="I32" s="6" t="s">
        <v>12</v>
      </c>
      <c r="J32" s="30">
        <v>75</v>
      </c>
      <c r="K32" s="17">
        <v>45916403.06815097</v>
      </c>
      <c r="L32" s="17">
        <v>70671464.4990497</v>
      </c>
      <c r="M32" s="17">
        <v>58440154.76513711</v>
      </c>
      <c r="N32" s="7"/>
      <c r="O32" s="6"/>
      <c r="P32" s="6"/>
      <c r="Q32" s="6"/>
    </row>
    <row x14ac:dyDescent="0.25" r="33" customHeight="1" ht="18">
      <c r="A33" s="15">
        <v>45376.416666666664</v>
      </c>
      <c r="B33" s="12">
        <v>31662</v>
      </c>
      <c r="C33" s="12">
        <v>22256</v>
      </c>
      <c r="D33" s="12">
        <v>21519</v>
      </c>
      <c r="E33" s="12">
        <v>2403</v>
      </c>
      <c r="F33" s="12">
        <v>2469</v>
      </c>
      <c r="G33" s="12">
        <v>2441</v>
      </c>
      <c r="H33" s="16">
        <f>AVERAGE(E33:G33)*1000/49350</f>
      </c>
      <c r="I33" s="6" t="s">
        <v>12</v>
      </c>
      <c r="J33" s="30">
        <v>150</v>
      </c>
      <c r="K33" s="17">
        <v>95521514.0605896</v>
      </c>
      <c r="L33" s="17">
        <v>67144426.02907214</v>
      </c>
      <c r="M33" s="17">
        <v>64920960.80695558</v>
      </c>
      <c r="N33" s="7"/>
      <c r="O33" s="6"/>
      <c r="P33" s="6"/>
      <c r="Q33" s="6"/>
    </row>
    <row x14ac:dyDescent="0.25" r="34" customHeight="1" ht="18">
      <c r="A34" s="19">
        <v>45376.75</v>
      </c>
      <c r="B34" s="12">
        <v>14829</v>
      </c>
      <c r="C34" s="12">
        <v>22746</v>
      </c>
      <c r="D34" s="12">
        <v>20871</v>
      </c>
      <c r="E34" s="12">
        <v>2403</v>
      </c>
      <c r="F34" s="12">
        <v>2469</v>
      </c>
      <c r="G34" s="12">
        <v>2441</v>
      </c>
      <c r="H34" s="16">
        <f>AVERAGE(E34:G34)*1000/49350</f>
      </c>
      <c r="I34" s="6" t="s">
        <v>12</v>
      </c>
      <c r="J34" s="30">
        <v>1.9869582937100938</v>
      </c>
      <c r="K34" s="17">
        <v>596504.1298736585</v>
      </c>
      <c r="L34" s="17">
        <v>914969.5150115474</v>
      </c>
      <c r="M34" s="17">
        <v>839546.6784404294</v>
      </c>
      <c r="N34" s="7"/>
      <c r="O34" s="6"/>
      <c r="P34" s="6"/>
      <c r="Q34" s="6"/>
    </row>
    <row x14ac:dyDescent="0.25" r="35" customHeight="1" ht="18">
      <c r="A35" s="15">
        <v>45377.416666666664</v>
      </c>
      <c r="B35" s="12">
        <v>12844</v>
      </c>
      <c r="C35" s="12">
        <v>19427</v>
      </c>
      <c r="D35" s="12">
        <v>17950</v>
      </c>
      <c r="E35" s="12">
        <v>2452</v>
      </c>
      <c r="F35" s="12">
        <v>2438</v>
      </c>
      <c r="G35" s="12">
        <v>2349</v>
      </c>
      <c r="H35" s="16">
        <f>AVERAGE(E35:G35)*1000/49350</f>
      </c>
      <c r="I35" s="6" t="s">
        <v>12</v>
      </c>
      <c r="J35" s="30">
        <v>3</v>
      </c>
      <c r="K35" s="17">
        <v>788045.6692913387</v>
      </c>
      <c r="L35" s="17">
        <v>1191946.6846249483</v>
      </c>
      <c r="M35" s="17">
        <v>1101325.1139660175</v>
      </c>
      <c r="N35" s="7"/>
      <c r="O35" s="6"/>
      <c r="P35" s="6"/>
      <c r="Q35" s="6"/>
    </row>
    <row x14ac:dyDescent="0.25" r="36" customHeight="1" ht="18">
      <c r="A36" s="15">
        <v>45378.416666666664</v>
      </c>
      <c r="B36" s="12">
        <v>5301</v>
      </c>
      <c r="C36" s="12">
        <v>7241</v>
      </c>
      <c r="D36" s="12">
        <v>6699</v>
      </c>
      <c r="E36" s="12">
        <v>2590</v>
      </c>
      <c r="F36" s="12">
        <v>2598</v>
      </c>
      <c r="G36" s="12">
        <v>2611</v>
      </c>
      <c r="H36" s="16">
        <f>AVERAGE(E36:G36)*1000/49350</f>
      </c>
      <c r="I36" s="6" t="s">
        <v>12</v>
      </c>
      <c r="J36" s="30">
        <v>15</v>
      </c>
      <c r="K36" s="17">
        <v>1509449.3845364791</v>
      </c>
      <c r="L36" s="17">
        <v>2061860.5911014234</v>
      </c>
      <c r="M36" s="17">
        <v>1907527.1509167843</v>
      </c>
      <c r="N36" s="7"/>
      <c r="O36" s="6"/>
      <c r="P36" s="6"/>
      <c r="Q36" s="6"/>
    </row>
    <row x14ac:dyDescent="0.25" r="37" customHeight="1" ht="18">
      <c r="A37" s="15">
        <v>45379.416666666664</v>
      </c>
      <c r="B37" s="12">
        <v>11305</v>
      </c>
      <c r="C37" s="12">
        <v>15887</v>
      </c>
      <c r="D37" s="12">
        <v>15017</v>
      </c>
      <c r="E37" s="12">
        <v>2452</v>
      </c>
      <c r="F37" s="12">
        <v>2438</v>
      </c>
      <c r="G37" s="12">
        <v>2349</v>
      </c>
      <c r="H37" s="16">
        <f>AVERAGE(E37:G37)*1000/49350</f>
      </c>
      <c r="I37" s="6" t="s">
        <v>12</v>
      </c>
      <c r="J37" s="30">
        <v>15</v>
      </c>
      <c r="K37" s="17">
        <v>3500498.989124373</v>
      </c>
      <c r="L37" s="17">
        <v>4919277.08449526</v>
      </c>
      <c r="M37" s="17">
        <v>4649888.838538762</v>
      </c>
      <c r="N37" s="7"/>
      <c r="O37" s="6"/>
      <c r="P37" s="6"/>
      <c r="Q37" s="6"/>
    </row>
    <row x14ac:dyDescent="0.25" r="38" customHeight="1" ht="18">
      <c r="A38" s="15">
        <v>45384.416666666664</v>
      </c>
      <c r="B38" s="12">
        <v>20756</v>
      </c>
      <c r="C38" s="12">
        <v>18636</v>
      </c>
      <c r="D38" s="12">
        <v>15307</v>
      </c>
      <c r="E38" s="12">
        <v>2484</v>
      </c>
      <c r="F38" s="12">
        <v>2546</v>
      </c>
      <c r="G38" s="12">
        <v>2502</v>
      </c>
      <c r="H38" s="16">
        <f>AVERAGE(E38:G38)*1000/49350</f>
      </c>
      <c r="I38" s="6" t="s">
        <v>12</v>
      </c>
      <c r="J38" s="30">
        <v>100</v>
      </c>
      <c r="K38" s="17">
        <v>40798271.375464685</v>
      </c>
      <c r="L38" s="17">
        <v>36631171.003717475</v>
      </c>
      <c r="M38" s="17">
        <v>30087644.05204461</v>
      </c>
      <c r="N38" s="7"/>
      <c r="O38" s="6"/>
      <c r="P38" s="6"/>
      <c r="Q38" s="6"/>
    </row>
    <row x14ac:dyDescent="0.25" r="39" customHeight="1" ht="18">
      <c r="A39" s="15">
        <v>45385.416666666664</v>
      </c>
      <c r="B39" s="12">
        <v>21969</v>
      </c>
      <c r="C39" s="12">
        <v>19383</v>
      </c>
      <c r="D39" s="12">
        <v>14716</v>
      </c>
      <c r="E39" s="12">
        <v>2465</v>
      </c>
      <c r="F39" s="12">
        <v>2489</v>
      </c>
      <c r="G39" s="12">
        <v>2469</v>
      </c>
      <c r="H39" s="16">
        <f>AVERAGE(E39:G39)*1000/49350</f>
      </c>
      <c r="I39" s="6" t="s">
        <v>12</v>
      </c>
      <c r="J39" s="30">
        <v>100</v>
      </c>
      <c r="K39" s="17">
        <v>43816657.01198976</v>
      </c>
      <c r="L39" s="17">
        <v>38658940.4553415</v>
      </c>
      <c r="M39" s="17">
        <v>29350718.038528893</v>
      </c>
      <c r="N39" s="7"/>
      <c r="O39" s="6"/>
      <c r="P39" s="6"/>
      <c r="Q39" s="6"/>
    </row>
    <row x14ac:dyDescent="0.25" r="40" customHeight="1" ht="18">
      <c r="A40" s="15"/>
      <c r="B40" s="7"/>
      <c r="C40" s="7"/>
      <c r="D40" s="7"/>
      <c r="E40" s="7"/>
      <c r="F40" s="7"/>
      <c r="G40" s="7"/>
      <c r="H40" s="13"/>
      <c r="I40" s="6"/>
      <c r="J40" s="8"/>
      <c r="K40" s="17"/>
      <c r="L40" s="17"/>
      <c r="M40" s="17"/>
      <c r="N40" s="7"/>
      <c r="O40" s="6"/>
      <c r="P40" s="6"/>
      <c r="Q40" s="6"/>
    </row>
    <row x14ac:dyDescent="0.25" r="41" customHeight="1" ht="18">
      <c r="A41" s="15"/>
      <c r="B41" s="7"/>
      <c r="C41" s="7"/>
      <c r="D41" s="7"/>
      <c r="E41" s="7"/>
      <c r="F41" s="7"/>
      <c r="G41" s="7"/>
      <c r="H41" s="13"/>
      <c r="I41" s="6"/>
      <c r="J41" s="8"/>
      <c r="K41" s="17"/>
      <c r="L41" s="17"/>
      <c r="M41" s="17"/>
      <c r="N41" s="7"/>
      <c r="O41" s="6"/>
      <c r="P41" s="6"/>
      <c r="Q41" s="6"/>
    </row>
    <row x14ac:dyDescent="0.25" r="42" customHeight="1" ht="18">
      <c r="A42" s="15"/>
      <c r="B42" s="7"/>
      <c r="C42" s="7"/>
      <c r="D42" s="7"/>
      <c r="E42" s="7"/>
      <c r="F42" s="7"/>
      <c r="G42" s="7"/>
      <c r="H42" s="13"/>
      <c r="I42" s="6"/>
      <c r="J42" s="8"/>
      <c r="K42" s="17"/>
      <c r="L42" s="17"/>
      <c r="M42" s="17"/>
      <c r="N42" s="7"/>
      <c r="O42" s="6"/>
      <c r="P42" s="6"/>
      <c r="Q42" s="6"/>
    </row>
    <row x14ac:dyDescent="0.25" r="43" customHeight="1" ht="18">
      <c r="A43" s="15"/>
      <c r="B43" s="7"/>
      <c r="C43" s="7"/>
      <c r="D43" s="7"/>
      <c r="E43" s="7"/>
      <c r="F43" s="7"/>
      <c r="G43" s="7"/>
      <c r="H43" s="13"/>
      <c r="I43" s="6"/>
      <c r="J43" s="8"/>
      <c r="K43" s="17"/>
      <c r="L43" s="17"/>
      <c r="M43" s="17"/>
      <c r="N43" s="7"/>
      <c r="O43" s="6"/>
      <c r="P43" s="6"/>
      <c r="Q43" s="6"/>
    </row>
    <row x14ac:dyDescent="0.25" r="44" customHeight="1" ht="18">
      <c r="A44" s="15"/>
      <c r="B44" s="7"/>
      <c r="C44" s="7"/>
      <c r="D44" s="7"/>
      <c r="E44" s="7"/>
      <c r="F44" s="7"/>
      <c r="G44" s="7"/>
      <c r="H44" s="13"/>
      <c r="I44" s="6"/>
      <c r="J44" s="8"/>
      <c r="K44" s="17"/>
      <c r="L44" s="17"/>
      <c r="M44" s="17"/>
      <c r="N44" s="7"/>
      <c r="O44" s="6"/>
      <c r="P44" s="6"/>
      <c r="Q44" s="6"/>
    </row>
    <row x14ac:dyDescent="0.25" r="45" customHeight="1" ht="18">
      <c r="A45" s="15"/>
      <c r="B45" s="7"/>
      <c r="C45" s="7"/>
      <c r="D45" s="7"/>
      <c r="E45" s="7"/>
      <c r="F45" s="7"/>
      <c r="G45" s="7"/>
      <c r="H45" s="13"/>
      <c r="I45" s="6"/>
      <c r="J45" s="8"/>
      <c r="K45" s="17"/>
      <c r="L45" s="17"/>
      <c r="M45" s="17"/>
      <c r="N45" s="7"/>
      <c r="O45" s="6"/>
      <c r="P45" s="6"/>
      <c r="Q45" s="6"/>
    </row>
    <row x14ac:dyDescent="0.25" r="46" customHeight="1" ht="18">
      <c r="A46" s="15"/>
      <c r="B46" s="7"/>
      <c r="C46" s="7"/>
      <c r="D46" s="7"/>
      <c r="E46" s="7"/>
      <c r="F46" s="7"/>
      <c r="G46" s="7"/>
      <c r="H46" s="13"/>
      <c r="I46" s="6"/>
      <c r="J46" s="8"/>
      <c r="K46" s="17"/>
      <c r="L46" s="17"/>
      <c r="M46" s="17"/>
      <c r="N46" s="7"/>
      <c r="O46" s="6"/>
      <c r="P46" s="6"/>
      <c r="Q46" s="6"/>
    </row>
    <row x14ac:dyDescent="0.25" r="47" customHeight="1" ht="18">
      <c r="A47" s="15"/>
      <c r="B47" s="7"/>
      <c r="C47" s="7"/>
      <c r="D47" s="7"/>
      <c r="E47" s="7"/>
      <c r="F47" s="7"/>
      <c r="G47" s="7"/>
      <c r="H47" s="13"/>
      <c r="I47" s="6"/>
      <c r="J47" s="8"/>
      <c r="K47" s="17"/>
      <c r="L47" s="17"/>
      <c r="M47" s="17"/>
      <c r="N47" s="7"/>
      <c r="O47" s="6"/>
      <c r="P47" s="6"/>
      <c r="Q47" s="6"/>
    </row>
    <row x14ac:dyDescent="0.25" r="48" customHeight="1" ht="18">
      <c r="A48" s="15"/>
      <c r="B48" s="7"/>
      <c r="C48" s="7"/>
      <c r="D48" s="7"/>
      <c r="E48" s="7"/>
      <c r="F48" s="7"/>
      <c r="G48" s="7"/>
      <c r="H48" s="13"/>
      <c r="I48" s="6"/>
      <c r="J48" s="8"/>
      <c r="K48" s="17"/>
      <c r="L48" s="17"/>
      <c r="M48" s="17"/>
      <c r="N48" s="7"/>
      <c r="O48" s="6"/>
      <c r="P48" s="6"/>
      <c r="Q48" s="6"/>
    </row>
    <row x14ac:dyDescent="0.25" r="49" customHeight="1" ht="18">
      <c r="A49" s="15"/>
      <c r="B49" s="7"/>
      <c r="C49" s="7"/>
      <c r="D49" s="7"/>
      <c r="E49" s="7"/>
      <c r="F49" s="7"/>
      <c r="G49" s="7"/>
      <c r="H49" s="13"/>
      <c r="I49" s="6"/>
      <c r="J49" s="8"/>
      <c r="K49" s="17"/>
      <c r="L49" s="17"/>
      <c r="M49" s="17"/>
      <c r="N49" s="7"/>
      <c r="O49" s="6"/>
      <c r="P49" s="6"/>
      <c r="Q49" s="6"/>
    </row>
    <row x14ac:dyDescent="0.25" r="50" customHeight="1" ht="18">
      <c r="A50" s="15"/>
      <c r="B50" s="7"/>
      <c r="C50" s="7"/>
      <c r="D50" s="7"/>
      <c r="E50" s="7"/>
      <c r="F50" s="7"/>
      <c r="G50" s="7"/>
      <c r="H50" s="13"/>
      <c r="I50" s="6"/>
      <c r="J50" s="8"/>
      <c r="K50" s="17"/>
      <c r="L50" s="17"/>
      <c r="M50" s="17"/>
      <c r="N50" s="7"/>
      <c r="O50" s="6"/>
      <c r="P50" s="6"/>
      <c r="Q50" s="6"/>
    </row>
    <row x14ac:dyDescent="0.25" r="51" customHeight="1" ht="18">
      <c r="A51" s="15"/>
      <c r="B51" s="7"/>
      <c r="C51" s="7"/>
      <c r="D51" s="7"/>
      <c r="E51" s="7"/>
      <c r="F51" s="7"/>
      <c r="G51" s="7"/>
      <c r="H51" s="13"/>
      <c r="I51" s="6"/>
      <c r="J51" s="8"/>
      <c r="K51" s="17"/>
      <c r="L51" s="17"/>
      <c r="M51" s="17"/>
      <c r="N51" s="7"/>
      <c r="O51" s="6"/>
      <c r="P51" s="6"/>
      <c r="Q51" s="6"/>
    </row>
    <row x14ac:dyDescent="0.25" r="52" customHeight="1" ht="18">
      <c r="A52" s="15"/>
      <c r="B52" s="7"/>
      <c r="C52" s="7"/>
      <c r="D52" s="7"/>
      <c r="E52" s="7"/>
      <c r="F52" s="7"/>
      <c r="G52" s="7"/>
      <c r="H52" s="13"/>
      <c r="I52" s="6"/>
      <c r="J52" s="8"/>
      <c r="K52" s="17"/>
      <c r="L52" s="17"/>
      <c r="M52" s="17"/>
      <c r="N52" s="7"/>
      <c r="O52" s="6"/>
      <c r="P52" s="6"/>
      <c r="Q52" s="6"/>
    </row>
    <row x14ac:dyDescent="0.25" r="53" customHeight="1" ht="18">
      <c r="A53" s="15"/>
      <c r="B53" s="7"/>
      <c r="C53" s="7"/>
      <c r="D53" s="7"/>
      <c r="E53" s="7"/>
      <c r="F53" s="7"/>
      <c r="G53" s="7"/>
      <c r="H53" s="13"/>
      <c r="I53" s="6"/>
      <c r="J53" s="8"/>
      <c r="K53" s="17"/>
      <c r="L53" s="17"/>
      <c r="M53" s="17"/>
      <c r="N53" s="7"/>
      <c r="O53" s="6"/>
      <c r="P53" s="6"/>
      <c r="Q53" s="6"/>
    </row>
    <row x14ac:dyDescent="0.25" r="54" customHeight="1" ht="18">
      <c r="A54" s="15"/>
      <c r="B54" s="7"/>
      <c r="C54" s="7"/>
      <c r="D54" s="7"/>
      <c r="E54" s="7"/>
      <c r="F54" s="7"/>
      <c r="G54" s="7"/>
      <c r="H54" s="13"/>
      <c r="I54" s="6"/>
      <c r="J54" s="8"/>
      <c r="K54" s="17"/>
      <c r="L54" s="17"/>
      <c r="M54" s="17"/>
      <c r="N54" s="7"/>
      <c r="O54" s="6"/>
      <c r="P54" s="6"/>
      <c r="Q54" s="6"/>
    </row>
    <row x14ac:dyDescent="0.25" r="55" customHeight="1" ht="18">
      <c r="A55" s="15"/>
      <c r="B55" s="7"/>
      <c r="C55" s="7"/>
      <c r="D55" s="7"/>
      <c r="E55" s="7"/>
      <c r="F55" s="7"/>
      <c r="G55" s="7"/>
      <c r="H55" s="13"/>
      <c r="I55" s="6"/>
      <c r="J55" s="8"/>
      <c r="K55" s="17"/>
      <c r="L55" s="17"/>
      <c r="M55" s="17"/>
      <c r="N55" s="7"/>
      <c r="O55" s="6"/>
      <c r="P55" s="6"/>
      <c r="Q55" s="6"/>
    </row>
    <row x14ac:dyDescent="0.25" r="56" customHeight="1" ht="18">
      <c r="A56" s="15"/>
      <c r="B56" s="7"/>
      <c r="C56" s="7"/>
      <c r="D56" s="7"/>
      <c r="E56" s="7"/>
      <c r="F56" s="7"/>
      <c r="G56" s="7"/>
      <c r="H56" s="13"/>
      <c r="I56" s="6"/>
      <c r="J56" s="8"/>
      <c r="K56" s="17"/>
      <c r="L56" s="17"/>
      <c r="M56" s="17"/>
      <c r="N56" s="7"/>
      <c r="O56" s="6"/>
      <c r="P56" s="6"/>
      <c r="Q56" s="6"/>
    </row>
    <row x14ac:dyDescent="0.25" r="57" customHeight="1" ht="18">
      <c r="A57" s="15"/>
      <c r="B57" s="7"/>
      <c r="C57" s="7"/>
      <c r="D57" s="7"/>
      <c r="E57" s="7"/>
      <c r="F57" s="7"/>
      <c r="G57" s="7"/>
      <c r="H57" s="13"/>
      <c r="I57" s="6"/>
      <c r="J57" s="8"/>
      <c r="K57" s="17"/>
      <c r="L57" s="17"/>
      <c r="M57" s="17"/>
      <c r="N57" s="7"/>
      <c r="O57" s="6"/>
      <c r="P57" s="6"/>
      <c r="Q57" s="6"/>
    </row>
    <row x14ac:dyDescent="0.25" r="58" customHeight="1" ht="18">
      <c r="A58" s="15"/>
      <c r="B58" s="7"/>
      <c r="C58" s="7"/>
      <c r="D58" s="7"/>
      <c r="E58" s="7"/>
      <c r="F58" s="7"/>
      <c r="G58" s="7"/>
      <c r="H58" s="13"/>
      <c r="I58" s="6"/>
      <c r="J58" s="8"/>
      <c r="K58" s="17"/>
      <c r="L58" s="17"/>
      <c r="M58" s="17"/>
      <c r="N58" s="7"/>
      <c r="O58" s="6"/>
      <c r="P58" s="6"/>
      <c r="Q58" s="6"/>
    </row>
    <row x14ac:dyDescent="0.25" r="59" customHeight="1" ht="18">
      <c r="A59" s="15"/>
      <c r="B59" s="7"/>
      <c r="C59" s="7"/>
      <c r="D59" s="7"/>
      <c r="E59" s="7"/>
      <c r="F59" s="7"/>
      <c r="G59" s="7"/>
      <c r="H59" s="13"/>
      <c r="I59" s="6"/>
      <c r="J59" s="8"/>
      <c r="K59" s="17"/>
      <c r="L59" s="17"/>
      <c r="M59" s="17"/>
      <c r="N59" s="7"/>
      <c r="O59" s="6"/>
      <c r="P59" s="6"/>
      <c r="Q59" s="6"/>
    </row>
  </sheetData>
  <mergeCells count="3">
    <mergeCell ref="A1:Q1"/>
    <mergeCell ref="B2:D2"/>
    <mergeCell ref="E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S56"/>
  <sheetViews>
    <sheetView workbookViewId="0"/>
  </sheetViews>
  <sheetFormatPr defaultRowHeight="15" x14ac:dyDescent="0.25"/>
  <cols>
    <col min="1" max="1" style="21" width="13.576428571428572" customWidth="1" bestFit="1"/>
    <col min="2" max="2" style="20" width="13.005" customWidth="1" bestFit="1"/>
    <col min="3" max="3" style="20" width="13.005" customWidth="1" bestFit="1"/>
    <col min="4" max="4" style="20" width="13.005" customWidth="1" bestFit="1"/>
    <col min="5" max="5" style="20" width="13.005" customWidth="1" bestFit="1"/>
    <col min="6" max="6" style="20" width="13.005" customWidth="1" bestFit="1"/>
    <col min="7" max="7" style="20" width="13.005" customWidth="1" bestFit="1"/>
    <col min="8" max="8" style="22" width="13.005" customWidth="1" bestFit="1"/>
    <col min="9" max="9" style="23" width="14.290714285714287" customWidth="1" bestFit="1"/>
    <col min="10" max="10" style="20" width="15.719285714285713" customWidth="1" bestFit="1"/>
    <col min="11" max="11" style="24" width="13.005" customWidth="1" bestFit="1"/>
    <col min="12" max="12" style="24" width="13.005" customWidth="1" bestFit="1"/>
    <col min="13" max="13" style="24" width="13.005" customWidth="1" bestFit="1"/>
    <col min="14" max="14" style="20" width="13.005" customWidth="1" bestFit="1"/>
    <col min="15" max="15" style="23" width="13.005" customWidth="1" bestFit="1"/>
    <col min="16" max="16" style="23" width="13.005" customWidth="1" bestFit="1"/>
    <col min="17" max="17" style="23" width="13.005" customWidth="1" bestFit="1"/>
    <col min="18" max="18" style="23" width="13.005" customWidth="1" bestFit="1"/>
    <col min="19" max="19" style="23" width="13.005" customWidth="1" bestFit="1"/>
    <col min="20" max="20" style="23" width="13.005" customWidth="1" bestFit="1"/>
    <col min="21" max="21" style="23" width="13.005" customWidth="1" bestFit="1"/>
    <col min="22" max="22" style="23" width="13.005" customWidth="1" bestFit="1"/>
    <col min="23" max="23" style="23" width="13.005" customWidth="1" bestFit="1"/>
    <col min="24" max="24" style="23" width="13.005" customWidth="1" bestFit="1"/>
    <col min="25" max="25" style="23" width="13.005" customWidth="1" bestFit="1"/>
    <col min="26" max="26" style="23" width="13.005" customWidth="1" bestFit="1"/>
    <col min="27" max="27" style="23" width="13.005" customWidth="1" bestFit="1"/>
    <col min="28" max="28" style="23" width="13.005" customWidth="1" bestFit="1"/>
    <col min="29" max="29" style="23" width="13.005" customWidth="1" bestFit="1"/>
    <col min="30" max="30" style="23" width="13.005" customWidth="1" bestFit="1"/>
    <col min="31" max="31" style="23" width="13.005" customWidth="1" bestFit="1"/>
    <col min="32" max="32" style="23" width="13.005" customWidth="1" bestFit="1"/>
    <col min="33" max="33" style="23" width="13.005" customWidth="1" bestFit="1"/>
    <col min="34" max="34" style="23" width="13.005" customWidth="1" bestFit="1"/>
    <col min="35" max="35" style="23" width="13.005" customWidth="1" bestFit="1"/>
    <col min="36" max="36" style="23" width="13.005" customWidth="1" bestFit="1"/>
    <col min="37" max="37" style="23" width="13.005" customWidth="1" bestFit="1"/>
    <col min="38" max="38" style="23" width="13.005" customWidth="1" bestFit="1"/>
    <col min="39" max="39" style="23" width="13.005" customWidth="1" bestFit="1"/>
    <col min="40" max="40" style="23" width="13.005" customWidth="1" bestFit="1"/>
    <col min="41" max="41" style="23" width="13.005" customWidth="1" bestFit="1"/>
    <col min="42" max="42" style="23" width="13.005" customWidth="1" bestFit="1"/>
    <col min="43" max="43" style="23" width="13.005" customWidth="1" bestFit="1"/>
    <col min="44" max="44" style="23" width="13.005" customWidth="1" bestFit="1"/>
    <col min="45" max="45" style="23" width="13.005" customWidth="1" bestFit="1"/>
    <col min="46" max="46" style="23" width="13.005" customWidth="1" bestFit="1"/>
    <col min="47" max="47" style="23" width="13.005" customWidth="1" bestFit="1"/>
    <col min="48" max="48" style="23" width="13.005" customWidth="1" bestFit="1"/>
    <col min="49" max="49" style="23" width="13.005" customWidth="1" bestFit="1"/>
    <col min="50" max="50" style="23" width="13.005" customWidth="1" bestFit="1"/>
    <col min="51" max="51" style="23" width="13.005" customWidth="1" bestFit="1"/>
    <col min="52" max="52" style="23" width="13.005" customWidth="1" bestFit="1"/>
    <col min="53" max="53" style="23" width="13.005" customWidth="1" bestFit="1"/>
    <col min="54" max="54" style="23" width="13.005" customWidth="1" bestFit="1"/>
    <col min="55" max="55" style="23" width="13.005" customWidth="1" bestFit="1"/>
    <col min="56" max="56" style="23" width="13.005" customWidth="1" bestFit="1"/>
    <col min="57" max="57" style="23" width="13.005" customWidth="1" bestFit="1"/>
    <col min="58" max="58" style="23" width="13.005" customWidth="1" bestFit="1"/>
    <col min="59" max="59" style="23" width="13.005" customWidth="1" bestFit="1"/>
    <col min="60" max="60" style="23" width="13.005" customWidth="1" bestFit="1"/>
    <col min="61" max="61" style="23" width="13.005" customWidth="1" bestFit="1"/>
    <col min="62" max="62" style="23" width="13.005" customWidth="1" bestFit="1"/>
    <col min="63" max="63" style="23" width="13.005" customWidth="1" bestFit="1"/>
    <col min="64" max="64" style="23" width="13.005" customWidth="1" bestFit="1"/>
    <col min="65" max="65" style="23" width="13.005" customWidth="1" bestFit="1"/>
    <col min="66" max="66" style="23" width="13.005" customWidth="1" bestFit="1"/>
    <col min="67" max="67" style="23" width="13.005" customWidth="1" bestFit="1"/>
    <col min="68" max="68" style="23" width="13.005" customWidth="1" bestFit="1"/>
    <col min="69" max="69" style="23" width="13.005" customWidth="1" bestFit="1"/>
    <col min="70" max="70" style="23" width="13.005" customWidth="1" bestFit="1"/>
    <col min="71" max="71" style="23" width="13.005" customWidth="1" bestFit="1"/>
    <col min="72" max="72" style="23" width="13.005" customWidth="1" bestFit="1"/>
    <col min="73" max="73" style="23" width="13.005" customWidth="1" bestFit="1"/>
    <col min="74" max="74" style="23" width="13.005" customWidth="1" bestFit="1"/>
    <col min="75" max="75" style="23" width="13.005" customWidth="1" bestFit="1"/>
    <col min="76" max="76" style="23" width="13.005" customWidth="1" bestFit="1"/>
    <col min="77" max="77" style="23" width="13.005" customWidth="1" bestFit="1"/>
    <col min="78" max="78" style="23" width="13.005" customWidth="1" bestFit="1"/>
    <col min="79" max="79" style="23" width="13.005" customWidth="1" bestFit="1"/>
    <col min="80" max="80" style="23" width="13.005" customWidth="1" bestFit="1"/>
    <col min="81" max="81" style="23" width="13.005" customWidth="1" bestFit="1"/>
    <col min="82" max="82" style="23" width="13.005" customWidth="1" bestFit="1"/>
    <col min="83" max="83" style="23" width="13.005" customWidth="1" bestFit="1"/>
    <col min="84" max="84" style="23" width="13.005" customWidth="1" bestFit="1"/>
    <col min="85" max="85" style="23" width="13.005" customWidth="1" bestFit="1"/>
    <col min="86" max="86" style="23" width="13.005" customWidth="1" bestFit="1"/>
    <col min="87" max="87" style="23" width="13.005" customWidth="1" bestFit="1"/>
    <col min="88" max="88" style="23" width="13.005" customWidth="1" bestFit="1"/>
    <col min="89" max="89" style="23" width="13.005" customWidth="1" bestFit="1"/>
    <col min="90" max="90" style="23" width="13.005" customWidth="1" bestFit="1"/>
    <col min="91" max="91" style="23" width="13.005" customWidth="1" bestFit="1"/>
    <col min="92" max="92" style="23" width="13.005" customWidth="1" bestFit="1"/>
    <col min="93" max="93" style="23" width="13.005" customWidth="1" bestFit="1"/>
    <col min="94" max="94" style="23" width="13.005" customWidth="1" bestFit="1"/>
    <col min="95" max="95" style="23" width="13.005" customWidth="1" bestFit="1"/>
    <col min="96" max="96" style="23" width="13.005" customWidth="1" bestFit="1"/>
    <col min="97" max="97" style="23" width="13.005" customWidth="1" bestFit="1"/>
  </cols>
  <sheetData>
    <row x14ac:dyDescent="0.25" r="1" customHeight="1" ht="18">
      <c r="A1" s="32" t="s">
        <v>70</v>
      </c>
      <c r="B1" s="31"/>
      <c r="C1" s="31"/>
      <c r="D1" s="31"/>
      <c r="E1" s="31"/>
      <c r="F1" s="31"/>
      <c r="G1" s="31"/>
      <c r="H1" s="33"/>
      <c r="I1" s="34"/>
      <c r="J1" s="31"/>
      <c r="K1" s="35"/>
      <c r="L1" s="35"/>
      <c r="M1" s="35"/>
      <c r="N1" s="7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</row>
    <row x14ac:dyDescent="0.25" r="2" customHeight="1" ht="18">
      <c r="A2" s="8" t="s">
        <v>2</v>
      </c>
      <c r="B2" s="9" t="s">
        <v>3</v>
      </c>
      <c r="C2" s="9"/>
      <c r="D2" s="9"/>
      <c r="E2" s="9" t="s">
        <v>4</v>
      </c>
      <c r="F2" s="9"/>
      <c r="G2" s="9"/>
      <c r="H2" s="10"/>
      <c r="I2" s="6" t="s">
        <v>5</v>
      </c>
      <c r="J2" s="7" t="s">
        <v>6</v>
      </c>
      <c r="K2" s="11" t="s">
        <v>7</v>
      </c>
      <c r="L2" s="11"/>
      <c r="M2" s="11"/>
      <c r="N2" s="7" t="s">
        <v>18</v>
      </c>
      <c r="O2" s="6" t="s">
        <v>19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</row>
    <row x14ac:dyDescent="0.25" r="3" customHeight="1" ht="18">
      <c r="A3" s="8"/>
      <c r="B3" s="7" t="s">
        <v>8</v>
      </c>
      <c r="C3" s="7" t="s">
        <v>9</v>
      </c>
      <c r="D3" s="7" t="s">
        <v>10</v>
      </c>
      <c r="E3" s="12">
        <v>1</v>
      </c>
      <c r="F3" s="12">
        <v>2</v>
      </c>
      <c r="G3" s="12">
        <v>3</v>
      </c>
      <c r="H3" s="13" t="s">
        <v>11</v>
      </c>
      <c r="I3" s="6"/>
      <c r="J3" s="7"/>
      <c r="K3" s="11" t="s">
        <v>8</v>
      </c>
      <c r="L3" s="11" t="s">
        <v>9</v>
      </c>
      <c r="M3" s="11" t="s">
        <v>10</v>
      </c>
      <c r="N3" s="7"/>
      <c r="O3" s="6" t="s">
        <v>8</v>
      </c>
      <c r="P3" s="6" t="s">
        <v>9</v>
      </c>
      <c r="Q3" s="6" t="s">
        <v>10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</row>
    <row x14ac:dyDescent="0.25" r="4" customHeight="1" ht="18">
      <c r="A4" s="15">
        <v>45341.625</v>
      </c>
      <c r="B4" s="12">
        <v>29440</v>
      </c>
      <c r="C4" s="12">
        <v>42444</v>
      </c>
      <c r="D4" s="12">
        <v>49450</v>
      </c>
      <c r="E4" s="12">
        <v>2227</v>
      </c>
      <c r="F4" s="12">
        <v>2388</v>
      </c>
      <c r="G4" s="12">
        <v>2329</v>
      </c>
      <c r="H4" s="16">
        <f>AVERAGE(E4:G4)*1000/47400</f>
      </c>
      <c r="I4" s="6" t="s">
        <v>12</v>
      </c>
      <c r="J4" s="12">
        <v>1</v>
      </c>
      <c r="K4" s="17">
        <v>602875.5760368664</v>
      </c>
      <c r="L4" s="17">
        <v>869172.9262672812</v>
      </c>
      <c r="M4" s="17">
        <v>1012642.569124424</v>
      </c>
      <c r="N4" s="7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</row>
    <row x14ac:dyDescent="0.25" r="5" customHeight="1" ht="18">
      <c r="A5" s="15">
        <v>45342.395833333336</v>
      </c>
      <c r="B5" s="12">
        <v>10947</v>
      </c>
      <c r="C5" s="12">
        <v>17303</v>
      </c>
      <c r="D5" s="12">
        <v>19810</v>
      </c>
      <c r="E5" s="12">
        <v>1271</v>
      </c>
      <c r="F5" s="12">
        <v>1293</v>
      </c>
      <c r="G5" s="12">
        <v>1315</v>
      </c>
      <c r="H5" s="16">
        <f>AVERAGE(E5:G5)*1000/47400</f>
      </c>
      <c r="I5" s="6" t="s">
        <v>13</v>
      </c>
      <c r="J5" s="12">
        <v>1</v>
      </c>
      <c r="K5" s="17">
        <v>401305.33642691415</v>
      </c>
      <c r="L5" s="17">
        <v>634309.5127610208</v>
      </c>
      <c r="M5" s="17">
        <v>726213.4570765661</v>
      </c>
      <c r="N5" s="7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</row>
    <row x14ac:dyDescent="0.25" r="6" customHeight="1" ht="18">
      <c r="A6" s="15">
        <v>45343.395833333336</v>
      </c>
      <c r="B6" s="12">
        <v>20488</v>
      </c>
      <c r="C6" s="12">
        <v>29784</v>
      </c>
      <c r="D6" s="12">
        <v>35014</v>
      </c>
      <c r="E6" s="12">
        <v>2458</v>
      </c>
      <c r="F6" s="12">
        <v>2448</v>
      </c>
      <c r="G6" s="12">
        <v>2527</v>
      </c>
      <c r="H6" s="16">
        <f>AVERAGE(E6:G6)*1000/47400</f>
      </c>
      <c r="I6" s="6" t="s">
        <v>12</v>
      </c>
      <c r="J6" s="12">
        <v>1</v>
      </c>
      <c r="K6" s="17">
        <v>391953.9351540428</v>
      </c>
      <c r="L6" s="17">
        <v>569794.8069420153</v>
      </c>
      <c r="M6" s="17">
        <v>669849.428225481</v>
      </c>
      <c r="N6" s="12">
        <v>1</v>
      </c>
      <c r="O6" s="6" t="s">
        <v>71</v>
      </c>
      <c r="P6" s="6" t="s">
        <v>72</v>
      </c>
      <c r="Q6" s="6" t="s">
        <v>73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</row>
    <row x14ac:dyDescent="0.25" r="7" customHeight="1" ht="18">
      <c r="A7" s="15">
        <v>45344.395833333336</v>
      </c>
      <c r="B7" s="12">
        <v>2306</v>
      </c>
      <c r="C7" s="12">
        <v>2558</v>
      </c>
      <c r="D7" s="12">
        <v>2104</v>
      </c>
      <c r="E7" s="12">
        <v>2632</v>
      </c>
      <c r="F7" s="12">
        <v>2515</v>
      </c>
      <c r="G7" s="12">
        <v>2523</v>
      </c>
      <c r="H7" s="16">
        <f>AVERAGE(E7:G7)*1000/47400</f>
      </c>
      <c r="I7" s="6" t="s">
        <v>12</v>
      </c>
      <c r="J7" s="12">
        <v>2</v>
      </c>
      <c r="K7" s="17">
        <v>85505.39765319428</v>
      </c>
      <c r="L7" s="17">
        <v>94849.43937418514</v>
      </c>
      <c r="M7" s="17">
        <v>78015.33246414603</v>
      </c>
      <c r="N7" s="12">
        <v>1</v>
      </c>
      <c r="O7" s="6" t="s">
        <v>41</v>
      </c>
      <c r="P7" s="6" t="s">
        <v>42</v>
      </c>
      <c r="Q7" s="6" t="s">
        <v>43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x14ac:dyDescent="0.25" r="8" customHeight="1" ht="18">
      <c r="A8" s="15">
        <v>45345.395833333336</v>
      </c>
      <c r="B8" s="12">
        <v>278</v>
      </c>
      <c r="C8" s="12">
        <v>271</v>
      </c>
      <c r="D8" s="12">
        <v>239</v>
      </c>
      <c r="E8" s="12">
        <v>2632</v>
      </c>
      <c r="F8" s="12">
        <v>2515</v>
      </c>
      <c r="G8" s="12">
        <v>2523</v>
      </c>
      <c r="H8" s="16">
        <f>AVERAGE(E8:G8)*1000/47400</f>
      </c>
      <c r="I8" s="6" t="s">
        <v>12</v>
      </c>
      <c r="J8" s="12">
        <v>1</v>
      </c>
      <c r="K8" s="17">
        <v>5154.054758800522</v>
      </c>
      <c r="L8" s="17">
        <v>5024.276401564538</v>
      </c>
      <c r="M8" s="17">
        <v>4431.003911342895</v>
      </c>
      <c r="N8" s="12">
        <v>11</v>
      </c>
      <c r="O8" s="6" t="s">
        <v>32</v>
      </c>
      <c r="P8" s="6" t="s">
        <v>33</v>
      </c>
      <c r="Q8" s="6" t="s">
        <v>34</v>
      </c>
      <c r="R8" s="6"/>
      <c r="S8" s="6"/>
      <c r="T8" s="6"/>
      <c r="U8" s="6"/>
      <c r="V8" s="6"/>
      <c r="W8" s="6"/>
      <c r="X8" s="18"/>
      <c r="Y8" s="6"/>
      <c r="Z8" s="6"/>
      <c r="AA8" s="18"/>
      <c r="AB8" s="6"/>
      <c r="AC8" s="6"/>
      <c r="AD8" s="18"/>
      <c r="AE8" s="6"/>
      <c r="AF8" s="6"/>
      <c r="AG8" s="18"/>
      <c r="AH8" s="6"/>
      <c r="AI8" s="6"/>
      <c r="AJ8" s="18"/>
      <c r="AK8" s="6"/>
      <c r="AL8" s="6"/>
      <c r="AM8" s="18"/>
      <c r="AN8" s="6"/>
      <c r="AO8" s="6"/>
      <c r="AP8" s="6"/>
      <c r="AQ8" s="6"/>
      <c r="AR8" s="18"/>
      <c r="AS8" s="6"/>
      <c r="AT8" s="6"/>
      <c r="AU8" s="6"/>
      <c r="AV8" s="6"/>
      <c r="AW8" s="18"/>
      <c r="AX8" s="6"/>
      <c r="AY8" s="6"/>
      <c r="AZ8" s="6"/>
      <c r="BA8" s="6"/>
      <c r="BB8" s="18"/>
      <c r="BC8" s="6"/>
      <c r="BD8" s="6"/>
      <c r="BE8" s="6"/>
      <c r="BF8" s="6"/>
      <c r="BG8" s="18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36"/>
      <c r="CO8" s="6"/>
      <c r="CP8" s="6"/>
      <c r="CQ8" s="6"/>
      <c r="CR8" s="6"/>
      <c r="CS8" s="36"/>
    </row>
    <row x14ac:dyDescent="0.25" r="9" customHeight="1" ht="18">
      <c r="A9" s="15">
        <v>45348.395833333336</v>
      </c>
      <c r="B9" s="12">
        <v>8</v>
      </c>
      <c r="C9" s="12">
        <v>7</v>
      </c>
      <c r="D9" s="12">
        <v>5</v>
      </c>
      <c r="E9" s="12">
        <v>2395</v>
      </c>
      <c r="F9" s="12">
        <v>2371</v>
      </c>
      <c r="G9" s="12">
        <v>2340</v>
      </c>
      <c r="H9" s="16">
        <f>AVERAGE(E9:G9)*1000/47400</f>
      </c>
      <c r="I9" s="6" t="s">
        <v>12</v>
      </c>
      <c r="J9" s="12">
        <v>1</v>
      </c>
      <c r="K9" s="17">
        <v>160.0900647340276</v>
      </c>
      <c r="L9" s="17">
        <v>140.07880664227415</v>
      </c>
      <c r="M9" s="17">
        <v>100.05629045876725</v>
      </c>
      <c r="N9" s="12">
        <v>11</v>
      </c>
      <c r="O9" s="6" t="s">
        <v>32</v>
      </c>
      <c r="P9" s="6" t="s">
        <v>33</v>
      </c>
      <c r="Q9" s="6" t="s">
        <v>34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36"/>
      <c r="CO9" s="6"/>
      <c r="CP9" s="6"/>
      <c r="CQ9" s="6"/>
      <c r="CR9" s="6"/>
      <c r="CS9" s="36"/>
    </row>
    <row x14ac:dyDescent="0.25" r="10" customHeight="1" ht="18">
      <c r="A10" s="15">
        <v>45349.395833333336</v>
      </c>
      <c r="B10" s="12">
        <v>7</v>
      </c>
      <c r="C10" s="12">
        <v>2</v>
      </c>
      <c r="D10" s="12">
        <v>3</v>
      </c>
      <c r="E10" s="12">
        <v>2550</v>
      </c>
      <c r="F10" s="12">
        <v>2504</v>
      </c>
      <c r="G10" s="12">
        <v>2552</v>
      </c>
      <c r="H10" s="16">
        <f>AVERAGE(E10:G10)*1000/47400</f>
      </c>
      <c r="I10" s="6" t="s">
        <v>12</v>
      </c>
      <c r="J10" s="12">
        <v>1</v>
      </c>
      <c r="K10" s="17">
        <v>130.87036550092031</v>
      </c>
      <c r="L10" s="17">
        <v>37.391533000262946</v>
      </c>
      <c r="M10" s="17">
        <v>56.08729950039442</v>
      </c>
      <c r="N10" s="12">
        <v>2</v>
      </c>
      <c r="O10" s="6" t="s">
        <v>55</v>
      </c>
      <c r="P10" s="6" t="s">
        <v>56</v>
      </c>
      <c r="Q10" s="6" t="s">
        <v>57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36"/>
      <c r="CO10" s="6"/>
      <c r="CP10" s="6"/>
      <c r="CQ10" s="6"/>
      <c r="CR10" s="6"/>
      <c r="CS10" s="36"/>
    </row>
    <row x14ac:dyDescent="0.25" r="11" customHeight="1" ht="18">
      <c r="A11" s="15">
        <v>45350.395833333336</v>
      </c>
      <c r="B11" s="12">
        <v>3</v>
      </c>
      <c r="C11" s="12">
        <v>2</v>
      </c>
      <c r="D11" s="12">
        <v>5</v>
      </c>
      <c r="E11" s="12">
        <v>2599</v>
      </c>
      <c r="F11" s="12">
        <v>2587</v>
      </c>
      <c r="G11" s="12">
        <v>2639</v>
      </c>
      <c r="H11" s="16">
        <f>AVERAGE(E11:G11)*1000/47400</f>
      </c>
      <c r="I11" s="6" t="s">
        <v>12</v>
      </c>
      <c r="J11" s="12">
        <v>1</v>
      </c>
      <c r="K11" s="17">
        <v>54.51757188498402</v>
      </c>
      <c r="L11" s="17">
        <v>36.34504792332268</v>
      </c>
      <c r="M11" s="17">
        <v>90.8626198083067</v>
      </c>
      <c r="N11" s="12">
        <v>2</v>
      </c>
      <c r="O11" s="6" t="s">
        <v>29</v>
      </c>
      <c r="P11" s="6" t="s">
        <v>30</v>
      </c>
      <c r="Q11" s="6" t="s">
        <v>31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36"/>
      <c r="CO11" s="6"/>
      <c r="CP11" s="6"/>
      <c r="CQ11" s="6"/>
      <c r="CR11" s="6"/>
      <c r="CS11" s="36"/>
    </row>
    <row x14ac:dyDescent="0.25" r="12" customHeight="1" ht="18">
      <c r="A12" s="15">
        <v>45351.395833333336</v>
      </c>
      <c r="B12" s="12">
        <v>12</v>
      </c>
      <c r="C12" s="12">
        <v>12</v>
      </c>
      <c r="D12" s="12">
        <v>3</v>
      </c>
      <c r="E12" s="12">
        <v>4791</v>
      </c>
      <c r="F12" s="12">
        <v>4729</v>
      </c>
      <c r="G12" s="12">
        <v>4976</v>
      </c>
      <c r="H12" s="16">
        <f>AVERAGE(E12:G12)*1000/47400</f>
      </c>
      <c r="I12" s="6" t="s">
        <v>74</v>
      </c>
      <c r="J12" s="12">
        <v>1</v>
      </c>
      <c r="K12" s="17">
        <v>117.71523178807948</v>
      </c>
      <c r="L12" s="17">
        <v>117.71523178807948</v>
      </c>
      <c r="M12" s="17">
        <v>29.42880794701987</v>
      </c>
      <c r="N12" s="12">
        <v>12</v>
      </c>
      <c r="O12" s="6" t="s">
        <v>71</v>
      </c>
      <c r="P12" s="6" t="s">
        <v>72</v>
      </c>
      <c r="Q12" s="6" t="s">
        <v>73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36"/>
      <c r="CO12" s="6"/>
      <c r="CP12" s="6"/>
      <c r="CQ12" s="6"/>
      <c r="CR12" s="6"/>
      <c r="CS12" s="36"/>
    </row>
    <row x14ac:dyDescent="0.25" r="13" customHeight="1" ht="18">
      <c r="A13" s="15">
        <v>45352.395833333336</v>
      </c>
      <c r="B13" s="12">
        <v>4</v>
      </c>
      <c r="C13" s="12">
        <v>9</v>
      </c>
      <c r="D13" s="12">
        <v>2</v>
      </c>
      <c r="E13" s="12">
        <v>4857</v>
      </c>
      <c r="F13" s="12">
        <v>4740</v>
      </c>
      <c r="G13" s="12">
        <v>4959</v>
      </c>
      <c r="H13" s="16">
        <f>AVERAGE(E13:G13)*1000/47400</f>
      </c>
      <c r="I13" s="6" t="s">
        <v>74</v>
      </c>
      <c r="J13" s="16">
        <v>1.0000000000000002</v>
      </c>
      <c r="K13" s="17">
        <v>39.07666941467436</v>
      </c>
      <c r="L13" s="17">
        <v>87.9225061830173</v>
      </c>
      <c r="M13" s="17">
        <v>19.53833470733718</v>
      </c>
      <c r="N13" s="12">
        <v>12</v>
      </c>
      <c r="O13" s="6" t="s">
        <v>29</v>
      </c>
      <c r="P13" s="6" t="s">
        <v>30</v>
      </c>
      <c r="Q13" s="6" t="s">
        <v>31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36"/>
      <c r="CO13" s="6"/>
      <c r="CP13" s="6"/>
      <c r="CQ13" s="6"/>
      <c r="CR13" s="6"/>
      <c r="CS13" s="36"/>
    </row>
    <row x14ac:dyDescent="0.25" r="14" customHeight="1" ht="18">
      <c r="A14" s="15">
        <v>45355.395833333336</v>
      </c>
      <c r="B14" s="12">
        <v>14</v>
      </c>
      <c r="C14" s="12">
        <v>12</v>
      </c>
      <c r="D14" s="12">
        <v>8</v>
      </c>
      <c r="E14" s="12">
        <v>4695</v>
      </c>
      <c r="F14" s="12">
        <v>4766</v>
      </c>
      <c r="G14" s="12">
        <v>4742</v>
      </c>
      <c r="H14" s="16">
        <f>AVERAGE(E14:G14)*1000/47400</f>
      </c>
      <c r="I14" s="6" t="s">
        <v>74</v>
      </c>
      <c r="J14" s="16">
        <v>0.9999999999999999</v>
      </c>
      <c r="K14" s="17">
        <v>140.1675702316412</v>
      </c>
      <c r="L14" s="17">
        <v>120.14363162712104</v>
      </c>
      <c r="M14" s="17">
        <v>80.0957544180807</v>
      </c>
      <c r="N14" s="12">
        <v>3</v>
      </c>
      <c r="O14" s="6" t="s">
        <v>29</v>
      </c>
      <c r="P14" s="6" t="s">
        <v>30</v>
      </c>
      <c r="Q14" s="6" t="s">
        <v>31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x14ac:dyDescent="0.25" r="15" customHeight="1" ht="18">
      <c r="A15" s="15">
        <v>45356.395833333336</v>
      </c>
      <c r="B15" s="12">
        <v>1</v>
      </c>
      <c r="C15" s="12">
        <v>4</v>
      </c>
      <c r="D15" s="12">
        <v>11</v>
      </c>
      <c r="E15" s="12">
        <v>4720</v>
      </c>
      <c r="F15" s="12">
        <v>4620</v>
      </c>
      <c r="G15" s="12">
        <v>4690</v>
      </c>
      <c r="H15" s="16">
        <f>AVERAGE(E15:G15)*1000/47400</f>
      </c>
      <c r="I15" s="6" t="s">
        <v>74</v>
      </c>
      <c r="J15" s="12">
        <v>1</v>
      </c>
      <c r="K15" s="17">
        <v>10.135424091233071</v>
      </c>
      <c r="L15" s="17">
        <v>40.541696364932285</v>
      </c>
      <c r="M15" s="17">
        <v>111.48966500356379</v>
      </c>
      <c r="N15" s="12">
        <v>4</v>
      </c>
      <c r="O15" s="6" t="s">
        <v>75</v>
      </c>
      <c r="P15" s="6" t="s">
        <v>76</v>
      </c>
      <c r="Q15" s="6" t="s">
        <v>77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x14ac:dyDescent="0.25" r="16" customHeight="1" ht="18">
      <c r="A16" s="15">
        <v>45357.395833333336</v>
      </c>
      <c r="B16" s="12">
        <v>3</v>
      </c>
      <c r="C16" s="12">
        <v>10</v>
      </c>
      <c r="D16" s="12">
        <v>10</v>
      </c>
      <c r="E16" s="12">
        <v>4552</v>
      </c>
      <c r="F16" s="12">
        <v>4813</v>
      </c>
      <c r="G16" s="12">
        <v>4759</v>
      </c>
      <c r="H16" s="16">
        <f>AVERAGE(E16:G16)*1000/47400</f>
      </c>
      <c r="I16" s="6" t="s">
        <v>74</v>
      </c>
      <c r="J16" s="12">
        <v>1</v>
      </c>
      <c r="K16" s="17">
        <v>30.20390824129142</v>
      </c>
      <c r="L16" s="17">
        <v>100.67969413763807</v>
      </c>
      <c r="M16" s="17">
        <v>100.67969413763807</v>
      </c>
      <c r="N16" s="12">
        <v>5</v>
      </c>
      <c r="O16" s="6" t="s">
        <v>29</v>
      </c>
      <c r="P16" s="6" t="s">
        <v>30</v>
      </c>
      <c r="Q16" s="6" t="s">
        <v>31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x14ac:dyDescent="0.25" r="17" customHeight="1" ht="18">
      <c r="A17" s="15">
        <v>45358.395833333336</v>
      </c>
      <c r="B17" s="12">
        <v>9</v>
      </c>
      <c r="C17" s="12">
        <v>11</v>
      </c>
      <c r="D17" s="12">
        <v>17</v>
      </c>
      <c r="E17" s="12">
        <v>5393</v>
      </c>
      <c r="F17" s="12">
        <v>5062</v>
      </c>
      <c r="G17" s="12">
        <v>5205</v>
      </c>
      <c r="H17" s="16">
        <f>AVERAGE(E17:G17)*1000/47400</f>
      </c>
      <c r="I17" s="6" t="s">
        <v>74</v>
      </c>
      <c r="J17" s="12">
        <v>1</v>
      </c>
      <c r="K17" s="17">
        <v>81.72413793103449</v>
      </c>
      <c r="L17" s="17">
        <v>99.88505747126437</v>
      </c>
      <c r="M17" s="17">
        <v>154.36781609195404</v>
      </c>
      <c r="N17" s="12">
        <v>5</v>
      </c>
      <c r="O17" s="6" t="s">
        <v>32</v>
      </c>
      <c r="P17" s="6" t="s">
        <v>33</v>
      </c>
      <c r="Q17" s="6" t="s">
        <v>34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x14ac:dyDescent="0.25" r="18" customHeight="1" ht="18">
      <c r="A18" s="15">
        <v>45359.395833333336</v>
      </c>
      <c r="B18" s="12">
        <v>5</v>
      </c>
      <c r="C18" s="12">
        <v>15</v>
      </c>
      <c r="D18" s="12">
        <v>15</v>
      </c>
      <c r="E18" s="12">
        <v>4995</v>
      </c>
      <c r="F18" s="12">
        <v>4783</v>
      </c>
      <c r="G18" s="12">
        <v>4952</v>
      </c>
      <c r="H18" s="16">
        <f>AVERAGE(E18:G18)*1000/47400</f>
      </c>
      <c r="I18" s="6" t="s">
        <v>74</v>
      </c>
      <c r="J18" s="12">
        <v>1</v>
      </c>
      <c r="K18" s="17">
        <v>48.26883910386965</v>
      </c>
      <c r="L18" s="17">
        <v>144.80651731160896</v>
      </c>
      <c r="M18" s="17">
        <v>144.80651731160896</v>
      </c>
      <c r="N18" s="12">
        <v>6</v>
      </c>
      <c r="O18" s="6" t="s">
        <v>29</v>
      </c>
      <c r="P18" s="6" t="s">
        <v>30</v>
      </c>
      <c r="Q18" s="6" t="s">
        <v>31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x14ac:dyDescent="0.25" r="19" customHeight="1" ht="18">
      <c r="A19" s="15">
        <v>45363.395833333336</v>
      </c>
      <c r="B19" s="12">
        <v>5</v>
      </c>
      <c r="C19" s="12">
        <v>19</v>
      </c>
      <c r="D19" s="12">
        <v>16</v>
      </c>
      <c r="E19" s="12">
        <v>4569</v>
      </c>
      <c r="F19" s="12">
        <v>4655</v>
      </c>
      <c r="G19" s="12">
        <v>4551</v>
      </c>
      <c r="H19" s="16">
        <f>AVERAGE(E19:G19)*1000/49350</f>
      </c>
      <c r="I19" s="6" t="s">
        <v>74</v>
      </c>
      <c r="J19" s="12">
        <v>1</v>
      </c>
      <c r="K19" s="17">
        <v>53.73865698729582</v>
      </c>
      <c r="L19" s="17">
        <v>204.2068965517241</v>
      </c>
      <c r="M19" s="17">
        <v>171.96370235934663</v>
      </c>
      <c r="N19" s="12">
        <v>6</v>
      </c>
      <c r="O19" s="6" t="s">
        <v>32</v>
      </c>
      <c r="P19" s="6" t="s">
        <v>33</v>
      </c>
      <c r="Q19" s="6" t="s">
        <v>34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x14ac:dyDescent="0.25" r="20" customHeight="1" ht="18">
      <c r="A20" s="15">
        <v>45364.395833333336</v>
      </c>
      <c r="B20" s="12">
        <v>7</v>
      </c>
      <c r="C20" s="12">
        <v>15</v>
      </c>
      <c r="D20" s="12">
        <v>22</v>
      </c>
      <c r="E20" s="12">
        <v>4449</v>
      </c>
      <c r="F20" s="12">
        <v>4495</v>
      </c>
      <c r="G20" s="12">
        <v>4427</v>
      </c>
      <c r="H20" s="16">
        <f>AVERAGE(E20:G20)*1000/49350</f>
      </c>
      <c r="I20" s="6" t="s">
        <v>74</v>
      </c>
      <c r="J20" s="12">
        <v>1</v>
      </c>
      <c r="K20" s="17">
        <v>77.50729190038142</v>
      </c>
      <c r="L20" s="17">
        <v>166.0870540722459</v>
      </c>
      <c r="M20" s="17">
        <v>243.5943459726273</v>
      </c>
      <c r="N20" s="12">
        <v>7</v>
      </c>
      <c r="O20" s="6" t="s">
        <v>29</v>
      </c>
      <c r="P20" s="6" t="s">
        <v>30</v>
      </c>
      <c r="Q20" s="6" t="s">
        <v>31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x14ac:dyDescent="0.25" r="21" customHeight="1" ht="18">
      <c r="A21" s="15">
        <v>45365.395833333336</v>
      </c>
      <c r="B21" s="12">
        <v>8</v>
      </c>
      <c r="C21" s="12">
        <v>24</v>
      </c>
      <c r="D21" s="12">
        <v>19</v>
      </c>
      <c r="E21" s="12">
        <v>4624</v>
      </c>
      <c r="F21" s="12">
        <v>4764</v>
      </c>
      <c r="G21" s="12">
        <v>4742</v>
      </c>
      <c r="H21" s="16">
        <f>AVERAGE(E21:G21)*1000/49350</f>
      </c>
      <c r="I21" s="6" t="s">
        <v>74</v>
      </c>
      <c r="J21" s="12">
        <v>1</v>
      </c>
      <c r="K21" s="17">
        <v>83.82165605095541</v>
      </c>
      <c r="L21" s="17">
        <v>251.46496815286622</v>
      </c>
      <c r="M21" s="17">
        <v>199.0764331210191</v>
      </c>
      <c r="N21" s="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x14ac:dyDescent="0.25" r="22" customHeight="1" ht="18">
      <c r="A22" s="15">
        <v>45366.395833333336</v>
      </c>
      <c r="B22" s="12">
        <v>9</v>
      </c>
      <c r="C22" s="12">
        <v>30</v>
      </c>
      <c r="D22" s="12">
        <v>28</v>
      </c>
      <c r="E22" s="12">
        <v>4716</v>
      </c>
      <c r="F22" s="12">
        <v>4727</v>
      </c>
      <c r="G22" s="12">
        <v>4811</v>
      </c>
      <c r="H22" s="16">
        <f>AVERAGE(E22:G22)*1000/49350</f>
      </c>
      <c r="I22" s="6" t="s">
        <v>74</v>
      </c>
      <c r="J22" s="12">
        <v>1</v>
      </c>
      <c r="K22" s="17">
        <v>93.47902343201909</v>
      </c>
      <c r="L22" s="17">
        <v>311.59674477339695</v>
      </c>
      <c r="M22" s="17">
        <v>290.8236284551705</v>
      </c>
      <c r="N22" s="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x14ac:dyDescent="0.25" r="23" customHeight="1" ht="18">
      <c r="A23" s="15">
        <v>45367.395833333336</v>
      </c>
      <c r="B23" s="12">
        <v>9</v>
      </c>
      <c r="C23" s="12">
        <v>39</v>
      </c>
      <c r="D23" s="12">
        <v>28</v>
      </c>
      <c r="E23" s="12">
        <v>4910</v>
      </c>
      <c r="F23" s="12">
        <v>4790</v>
      </c>
      <c r="G23" s="12">
        <v>4810</v>
      </c>
      <c r="H23" s="16">
        <f>AVERAGE(E23:G23)*1000/49350</f>
      </c>
      <c r="I23" s="6" t="s">
        <v>74</v>
      </c>
      <c r="J23" s="12">
        <v>1</v>
      </c>
      <c r="K23" s="17">
        <v>91.82977257064094</v>
      </c>
      <c r="L23" s="17">
        <v>397.9290144727774</v>
      </c>
      <c r="M23" s="17">
        <v>285.6926257753274</v>
      </c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x14ac:dyDescent="0.25" r="24" customHeight="1" ht="18">
      <c r="A24" s="15">
        <v>45368.395833333336</v>
      </c>
      <c r="B24" s="12">
        <v>13</v>
      </c>
      <c r="C24" s="12">
        <v>40</v>
      </c>
      <c r="D24" s="12">
        <v>51</v>
      </c>
      <c r="E24" s="12">
        <v>4753</v>
      </c>
      <c r="F24" s="12">
        <v>4688</v>
      </c>
      <c r="G24" s="12">
        <v>4605</v>
      </c>
      <c r="H24" s="16">
        <f>AVERAGE(E24:G24)*1000/49350</f>
      </c>
      <c r="I24" s="6" t="s">
        <v>74</v>
      </c>
      <c r="J24" s="12">
        <v>1</v>
      </c>
      <c r="K24" s="17">
        <v>137.0247757368646</v>
      </c>
      <c r="L24" s="17">
        <v>421.614694574968</v>
      </c>
      <c r="M24" s="17">
        <v>537.5587355830842</v>
      </c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x14ac:dyDescent="0.25" r="25" customHeight="1" ht="18">
      <c r="A25" s="15">
        <v>45369.395833333336</v>
      </c>
      <c r="B25" s="12">
        <v>14</v>
      </c>
      <c r="C25" s="12">
        <v>68</v>
      </c>
      <c r="D25" s="12">
        <v>42</v>
      </c>
      <c r="E25" s="12">
        <v>4611</v>
      </c>
      <c r="F25" s="12">
        <v>4783</v>
      </c>
      <c r="G25" s="12">
        <v>4856</v>
      </c>
      <c r="H25" s="16">
        <f>AVERAGE(E25:G25)*1000/49350</f>
      </c>
      <c r="I25" s="6" t="s">
        <v>74</v>
      </c>
      <c r="J25" s="12">
        <v>1</v>
      </c>
      <c r="K25" s="17">
        <v>145.45263157894738</v>
      </c>
      <c r="L25" s="17">
        <v>706.4842105263158</v>
      </c>
      <c r="M25" s="17">
        <v>436.35789473684207</v>
      </c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x14ac:dyDescent="0.25" r="26" customHeight="1" ht="18">
      <c r="A26" s="15">
        <v>45370.395833333336</v>
      </c>
      <c r="B26" s="12">
        <v>22</v>
      </c>
      <c r="C26" s="12">
        <v>52</v>
      </c>
      <c r="D26" s="12">
        <v>59</v>
      </c>
      <c r="E26" s="12">
        <v>4830</v>
      </c>
      <c r="F26" s="12">
        <v>4712</v>
      </c>
      <c r="G26" s="12">
        <v>4606</v>
      </c>
      <c r="H26" s="16">
        <f>AVERAGE(E26:G26)*1000/49350</f>
      </c>
      <c r="I26" s="6" t="s">
        <v>74</v>
      </c>
      <c r="J26" s="12">
        <v>1</v>
      </c>
      <c r="K26" s="17">
        <v>230.21628498727736</v>
      </c>
      <c r="L26" s="17">
        <v>544.147582697201</v>
      </c>
      <c r="M26" s="17">
        <v>617.3982188295165</v>
      </c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x14ac:dyDescent="0.25" r="27" customHeight="1" ht="18">
      <c r="A27" s="15">
        <v>45371.395833333336</v>
      </c>
      <c r="B27" s="12">
        <v>21</v>
      </c>
      <c r="C27" s="12">
        <v>60</v>
      </c>
      <c r="D27" s="12">
        <v>54</v>
      </c>
      <c r="E27" s="12">
        <v>4860</v>
      </c>
      <c r="F27" s="12">
        <v>4734</v>
      </c>
      <c r="G27" s="12">
        <v>4835</v>
      </c>
      <c r="H27" s="16">
        <f>AVERAGE(E27:G27)*1000/49350</f>
      </c>
      <c r="I27" s="6" t="s">
        <v>74</v>
      </c>
      <c r="J27" s="12">
        <v>1</v>
      </c>
      <c r="K27" s="17">
        <v>215.47231270358304</v>
      </c>
      <c r="L27" s="17">
        <v>615.6351791530944</v>
      </c>
      <c r="M27" s="17">
        <v>554.071661237785</v>
      </c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x14ac:dyDescent="0.25" r="28" customHeight="1" ht="18">
      <c r="A28" s="15">
        <v>45372.395833333336</v>
      </c>
      <c r="B28" s="12">
        <v>28</v>
      </c>
      <c r="C28" s="12">
        <v>86</v>
      </c>
      <c r="D28" s="12">
        <v>68</v>
      </c>
      <c r="E28" s="12">
        <v>4712</v>
      </c>
      <c r="F28" s="12">
        <v>4713</v>
      </c>
      <c r="G28" s="12">
        <v>4811</v>
      </c>
      <c r="H28" s="16">
        <f>AVERAGE(E28:G28)*1000/49350</f>
      </c>
      <c r="I28" s="6" t="s">
        <v>74</v>
      </c>
      <c r="J28" s="12">
        <v>1</v>
      </c>
      <c r="K28" s="17">
        <v>291.1913458836752</v>
      </c>
      <c r="L28" s="17">
        <v>894.3734194998596</v>
      </c>
      <c r="M28" s="17">
        <v>707.178982860354</v>
      </c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x14ac:dyDescent="0.25" r="29" customHeight="1" ht="18">
      <c r="A29" s="15">
        <v>45373.395833333336</v>
      </c>
      <c r="B29" s="12">
        <v>40</v>
      </c>
      <c r="C29" s="12">
        <v>127</v>
      </c>
      <c r="D29" s="12">
        <v>106</v>
      </c>
      <c r="E29" s="12">
        <v>4534</v>
      </c>
      <c r="F29" s="12">
        <v>4403</v>
      </c>
      <c r="G29" s="12">
        <v>4553</v>
      </c>
      <c r="H29" s="16">
        <f>AVERAGE(E29:G29)*1000/49350</f>
      </c>
      <c r="I29" s="6" t="s">
        <v>74</v>
      </c>
      <c r="J29" s="12">
        <v>1</v>
      </c>
      <c r="K29" s="17">
        <v>438.9918458117124</v>
      </c>
      <c r="L29" s="17">
        <v>1393.7991104521868</v>
      </c>
      <c r="M29" s="17">
        <v>1163.3283914010378</v>
      </c>
      <c r="N29" s="7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x14ac:dyDescent="0.25" r="30" customHeight="1" ht="18">
      <c r="A30" s="15">
        <v>45376.395833333336</v>
      </c>
      <c r="B30" s="12">
        <v>52</v>
      </c>
      <c r="C30" s="12">
        <v>219</v>
      </c>
      <c r="D30" s="12">
        <v>145</v>
      </c>
      <c r="E30" s="12">
        <v>4697</v>
      </c>
      <c r="F30" s="12">
        <v>4821</v>
      </c>
      <c r="G30" s="12">
        <v>4773</v>
      </c>
      <c r="H30" s="16">
        <f>AVERAGE(E30:G30)*1000/49350</f>
      </c>
      <c r="I30" s="6" t="s">
        <v>74</v>
      </c>
      <c r="J30" s="12">
        <v>1</v>
      </c>
      <c r="K30" s="17">
        <v>538.7026800083969</v>
      </c>
      <c r="L30" s="17">
        <v>2268.76705618921</v>
      </c>
      <c r="M30" s="17">
        <v>1502.1517038695683</v>
      </c>
      <c r="N30" s="7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x14ac:dyDescent="0.25" r="31" customHeight="1" ht="18">
      <c r="A31" s="15">
        <v>45377.416666666664</v>
      </c>
      <c r="B31" s="12">
        <v>42</v>
      </c>
      <c r="C31" s="12">
        <v>149</v>
      </c>
      <c r="D31" s="12">
        <v>104</v>
      </c>
      <c r="E31" s="12">
        <v>2452</v>
      </c>
      <c r="F31" s="12">
        <v>2438</v>
      </c>
      <c r="G31" s="12">
        <v>2349</v>
      </c>
      <c r="H31" s="16">
        <f>AVERAGE(E31:G31)*1000/49350</f>
      </c>
      <c r="I31" s="6" t="s">
        <v>12</v>
      </c>
      <c r="J31" s="12">
        <v>1</v>
      </c>
      <c r="K31" s="17">
        <v>858.9722337339412</v>
      </c>
      <c r="L31" s="17">
        <v>3047.3062577704104</v>
      </c>
      <c r="M31" s="17">
        <v>2126.978864484045</v>
      </c>
      <c r="N31" s="7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x14ac:dyDescent="0.25" r="32" customHeight="1" ht="18">
      <c r="A32" s="15">
        <v>45378.416666666664</v>
      </c>
      <c r="B32" s="12">
        <v>55</v>
      </c>
      <c r="C32" s="12">
        <v>169</v>
      </c>
      <c r="D32" s="12">
        <v>131</v>
      </c>
      <c r="E32" s="12">
        <v>2590</v>
      </c>
      <c r="F32" s="12">
        <v>2598</v>
      </c>
      <c r="G32" s="12">
        <v>2611</v>
      </c>
      <c r="H32" s="16">
        <f>AVERAGE(E32:G32)*1000/49350</f>
      </c>
      <c r="I32" s="6" t="s">
        <v>12</v>
      </c>
      <c r="J32" s="12">
        <v>1</v>
      </c>
      <c r="K32" s="17">
        <v>1044.0761636107195</v>
      </c>
      <c r="L32" s="17">
        <v>3208.1613027311196</v>
      </c>
      <c r="M32" s="17">
        <v>2486.799589690986</v>
      </c>
      <c r="N32" s="7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x14ac:dyDescent="0.25" r="33" customHeight="1" ht="18">
      <c r="A33" s="15">
        <v>45379.416666666664</v>
      </c>
      <c r="B33" s="12">
        <v>76</v>
      </c>
      <c r="C33" s="12">
        <v>214</v>
      </c>
      <c r="D33" s="12">
        <v>139</v>
      </c>
      <c r="E33" s="12">
        <v>2404</v>
      </c>
      <c r="F33" s="12">
        <v>2371</v>
      </c>
      <c r="G33" s="12">
        <v>2397</v>
      </c>
      <c r="H33" s="16">
        <f>AVERAGE(E33:G33)*1000/49350</f>
      </c>
      <c r="I33" s="6" t="s">
        <v>12</v>
      </c>
      <c r="J33" s="12">
        <v>1</v>
      </c>
      <c r="K33" s="17">
        <v>1568.8510875627442</v>
      </c>
      <c r="L33" s="17">
        <v>4417.554378137201</v>
      </c>
      <c r="M33" s="17">
        <v>2869.3460680423873</v>
      </c>
      <c r="N33" s="7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x14ac:dyDescent="0.25" r="34" customHeight="1" ht="18">
      <c r="A34" s="15">
        <v>45380.416666666664</v>
      </c>
      <c r="B34" s="12">
        <v>62</v>
      </c>
      <c r="C34" s="12">
        <v>235</v>
      </c>
      <c r="D34" s="12">
        <v>149</v>
      </c>
      <c r="E34" s="12">
        <v>2296</v>
      </c>
      <c r="F34" s="12">
        <v>2251</v>
      </c>
      <c r="G34" s="12">
        <v>2385</v>
      </c>
      <c r="H34" s="16">
        <f>AVERAGE(E34:G34)*1000/49350</f>
      </c>
      <c r="I34" s="6" t="s">
        <v>12</v>
      </c>
      <c r="J34" s="12">
        <v>1</v>
      </c>
      <c r="K34" s="17">
        <v>1218.6802973977697</v>
      </c>
      <c r="L34" s="17">
        <v>4619.191449814127</v>
      </c>
      <c r="M34" s="17">
        <v>2928.7639405204463</v>
      </c>
      <c r="N34" s="7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x14ac:dyDescent="0.25" r="35" customHeight="1" ht="18">
      <c r="A35" s="15">
        <v>45384.416666666664</v>
      </c>
      <c r="B35" s="12">
        <v>170</v>
      </c>
      <c r="C35" s="12">
        <v>468</v>
      </c>
      <c r="D35" s="12">
        <v>347</v>
      </c>
      <c r="E35" s="12">
        <v>2484</v>
      </c>
      <c r="F35" s="12">
        <v>2546</v>
      </c>
      <c r="G35" s="12">
        <v>2502</v>
      </c>
      <c r="H35" s="16">
        <f>AVERAGE(E35:G35)*1000/49350</f>
      </c>
      <c r="I35" s="6" t="s">
        <v>12</v>
      </c>
      <c r="J35" s="12">
        <v>1</v>
      </c>
      <c r="K35" s="17">
        <v>3341.542750929368</v>
      </c>
      <c r="L35" s="17">
        <v>9199.07063197026</v>
      </c>
      <c r="M35" s="17">
        <v>6820.67843866171</v>
      </c>
      <c r="N35" s="7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x14ac:dyDescent="0.25" r="36" customHeight="1" ht="18">
      <c r="A36" s="15">
        <v>45385.416666666664</v>
      </c>
      <c r="B36" s="12">
        <v>158</v>
      </c>
      <c r="C36" s="12">
        <v>517</v>
      </c>
      <c r="D36" s="12">
        <v>397</v>
      </c>
      <c r="E36" s="12">
        <v>2465</v>
      </c>
      <c r="F36" s="12">
        <v>2489</v>
      </c>
      <c r="G36" s="12">
        <v>2469</v>
      </c>
      <c r="H36" s="16">
        <f>AVERAGE(E36:G36)*1000/49350</f>
      </c>
      <c r="I36" s="6" t="s">
        <v>12</v>
      </c>
      <c r="J36" s="12">
        <v>1</v>
      </c>
      <c r="K36" s="17">
        <v>3151.2730701872556</v>
      </c>
      <c r="L36" s="17">
        <v>10311.44416004311</v>
      </c>
      <c r="M36" s="17">
        <v>7918.072208002155</v>
      </c>
      <c r="N36" s="7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x14ac:dyDescent="0.25" r="37" customHeight="1" ht="18">
      <c r="A37" s="15">
        <v>45386.416666666664</v>
      </c>
      <c r="B37" s="12">
        <v>199</v>
      </c>
      <c r="C37" s="12">
        <v>639</v>
      </c>
      <c r="D37" s="12">
        <v>493</v>
      </c>
      <c r="E37" s="12">
        <v>2485</v>
      </c>
      <c r="F37" s="12">
        <v>2609</v>
      </c>
      <c r="G37" s="12">
        <v>2573</v>
      </c>
      <c r="H37" s="16">
        <f>AVERAGE(E37:G37)*1000/49350</f>
      </c>
      <c r="I37" s="6" t="s">
        <v>12</v>
      </c>
      <c r="J37" s="12">
        <v>1</v>
      </c>
      <c r="K37" s="17">
        <v>3842.6959697404463</v>
      </c>
      <c r="L37" s="17">
        <v>12339.109169166559</v>
      </c>
      <c r="M37" s="17">
        <v>9519.844789356985</v>
      </c>
      <c r="N37" s="7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x14ac:dyDescent="0.25" r="38" customHeight="1" ht="18">
      <c r="A38" s="15">
        <v>45387.416666666664</v>
      </c>
      <c r="B38" s="12">
        <v>281</v>
      </c>
      <c r="C38" s="12">
        <v>827</v>
      </c>
      <c r="D38" s="12">
        <v>643</v>
      </c>
      <c r="E38" s="12">
        <v>2367</v>
      </c>
      <c r="F38" s="12">
        <v>2336</v>
      </c>
      <c r="G38" s="12">
        <v>2224</v>
      </c>
      <c r="H38" s="16">
        <f>AVERAGE(E38:G38)*1000/49350</f>
      </c>
      <c r="I38" s="6" t="s">
        <v>12</v>
      </c>
      <c r="J38" s="12">
        <v>1</v>
      </c>
      <c r="K38" s="17">
        <v>6005.781723689909</v>
      </c>
      <c r="L38" s="17">
        <v>17675.37895192724</v>
      </c>
      <c r="M38" s="17">
        <v>13742.767431788652</v>
      </c>
      <c r="N38" s="7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x14ac:dyDescent="0.25" r="39" customHeight="1" ht="18">
      <c r="A39" s="15">
        <v>45390.5</v>
      </c>
      <c r="B39" s="12">
        <v>550</v>
      </c>
      <c r="C39" s="12">
        <v>1394</v>
      </c>
      <c r="D39" s="12">
        <v>1201</v>
      </c>
      <c r="E39" s="12">
        <v>2506</v>
      </c>
      <c r="F39" s="12">
        <v>2540</v>
      </c>
      <c r="G39" s="12">
        <v>2498</v>
      </c>
      <c r="H39" s="16">
        <f>AVERAGE(E39:G39)*1000/49350</f>
      </c>
      <c r="I39" s="6" t="s">
        <v>12</v>
      </c>
      <c r="J39" s="12">
        <v>1</v>
      </c>
      <c r="K39" s="17">
        <v>10793.67709437964</v>
      </c>
      <c r="L39" s="17">
        <v>27357.065217391308</v>
      </c>
      <c r="M39" s="17">
        <v>23569.46580063627</v>
      </c>
      <c r="N39" s="7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x14ac:dyDescent="0.25" r="40" customHeight="1" ht="18">
      <c r="A40" s="15">
        <v>45391.416666666664</v>
      </c>
      <c r="B40" s="12">
        <v>632</v>
      </c>
      <c r="C40" s="12">
        <v>1483</v>
      </c>
      <c r="D40" s="12">
        <v>1468</v>
      </c>
      <c r="E40" s="12">
        <v>2548</v>
      </c>
      <c r="F40" s="12">
        <v>2639</v>
      </c>
      <c r="G40" s="12">
        <v>2480</v>
      </c>
      <c r="H40" s="16">
        <f>AVERAGE(E40:G40)*1000/49350</f>
      </c>
      <c r="I40" s="6" t="s">
        <v>12</v>
      </c>
      <c r="J40" s="12">
        <v>1</v>
      </c>
      <c r="K40" s="17">
        <v>12203.938959175688</v>
      </c>
      <c r="L40" s="17">
        <v>28636.774488065737</v>
      </c>
      <c r="M40" s="17">
        <v>28347.1240380853</v>
      </c>
      <c r="N40" s="7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x14ac:dyDescent="0.25" r="41" customHeight="1" ht="18">
      <c r="A41" s="15">
        <v>45392.583333333336</v>
      </c>
      <c r="B41" s="12">
        <v>921</v>
      </c>
      <c r="C41" s="12">
        <v>1314</v>
      </c>
      <c r="D41" s="12">
        <v>1835</v>
      </c>
      <c r="E41" s="12">
        <v>2465</v>
      </c>
      <c r="F41" s="12">
        <v>2631</v>
      </c>
      <c r="G41" s="12">
        <v>2504</v>
      </c>
      <c r="H41" s="16">
        <f>AVERAGE(E41:G41)*1000/49350</f>
      </c>
      <c r="I41" s="6" t="s">
        <v>12</v>
      </c>
      <c r="J41" s="12">
        <v>1</v>
      </c>
      <c r="K41" s="17">
        <v>17941.322368421053</v>
      </c>
      <c r="L41" s="17">
        <v>25597.065789473683</v>
      </c>
      <c r="M41" s="17">
        <v>35746.28289473684</v>
      </c>
      <c r="N41" s="7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x14ac:dyDescent="0.25" r="42" customHeight="1" ht="18">
      <c r="A42" s="15">
        <v>45393.416666666664</v>
      </c>
      <c r="B42" s="12">
        <v>743</v>
      </c>
      <c r="C42" s="12">
        <v>856</v>
      </c>
      <c r="D42" s="12">
        <v>1869</v>
      </c>
      <c r="E42" s="12">
        <v>2594</v>
      </c>
      <c r="F42" s="12">
        <v>2493</v>
      </c>
      <c r="G42" s="12">
        <v>2595</v>
      </c>
      <c r="H42" s="16">
        <f>AVERAGE(E42:G42)*1000/49350</f>
      </c>
      <c r="I42" s="6" t="s">
        <v>12</v>
      </c>
      <c r="J42" s="12">
        <v>1</v>
      </c>
      <c r="K42" s="17">
        <v>14319.337412132258</v>
      </c>
      <c r="L42" s="17">
        <v>16497.110127570944</v>
      </c>
      <c r="M42" s="17">
        <v>36019.97526685759</v>
      </c>
      <c r="N42" s="7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x14ac:dyDescent="0.25" r="43" customHeight="1" ht="18">
      <c r="A43" s="15">
        <v>45394.416666666664</v>
      </c>
      <c r="B43" s="12">
        <v>1089</v>
      </c>
      <c r="C43" s="12">
        <v>437</v>
      </c>
      <c r="D43" s="12">
        <v>2266</v>
      </c>
      <c r="E43" s="12">
        <v>2480</v>
      </c>
      <c r="F43" s="12">
        <v>2453</v>
      </c>
      <c r="G43" s="12">
        <v>2450</v>
      </c>
      <c r="H43" s="16">
        <f>AVERAGE(E43:G43)*1000/49350</f>
      </c>
      <c r="I43" s="6" t="s">
        <v>12</v>
      </c>
      <c r="J43" s="12">
        <v>1</v>
      </c>
      <c r="K43" s="17">
        <v>21837.525396180412</v>
      </c>
      <c r="L43" s="17">
        <v>8763.084112149532</v>
      </c>
      <c r="M43" s="17">
        <v>45439.69930922389</v>
      </c>
      <c r="N43" s="7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x14ac:dyDescent="0.25" r="44" customHeight="1" ht="18">
      <c r="A44" s="15">
        <v>45397.416666666664</v>
      </c>
      <c r="B44" s="12">
        <v>1990</v>
      </c>
      <c r="C44" s="12">
        <v>223</v>
      </c>
      <c r="D44" s="12">
        <v>4469</v>
      </c>
      <c r="E44" s="12">
        <v>2444</v>
      </c>
      <c r="F44" s="12">
        <v>2483</v>
      </c>
      <c r="G44" s="12">
        <v>2483</v>
      </c>
      <c r="H44" s="16">
        <f>AVERAGE(E44:G44)*1000/49350</f>
      </c>
      <c r="I44" s="6" t="s">
        <v>12</v>
      </c>
      <c r="J44" s="12">
        <v>1</v>
      </c>
      <c r="K44" s="17">
        <v>39759.71659919029</v>
      </c>
      <c r="L44" s="17">
        <v>4455.485829959514</v>
      </c>
      <c r="M44" s="17">
        <v>89289.53441295547</v>
      </c>
      <c r="N44" s="7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x14ac:dyDescent="0.25" r="45" customHeight="1" ht="18">
      <c r="A45" s="15">
        <v>45398.416666666664</v>
      </c>
      <c r="B45" s="12">
        <v>1885</v>
      </c>
      <c r="C45" s="12">
        <v>175</v>
      </c>
      <c r="D45" s="12">
        <v>4091</v>
      </c>
      <c r="E45" s="12">
        <v>2507</v>
      </c>
      <c r="F45" s="12">
        <v>2499</v>
      </c>
      <c r="G45" s="12">
        <v>2561</v>
      </c>
      <c r="H45" s="16">
        <f>AVERAGE(E45:G45)*1000/49350</f>
      </c>
      <c r="I45" s="6" t="s">
        <v>12</v>
      </c>
      <c r="J45" s="12">
        <v>1</v>
      </c>
      <c r="K45" s="17">
        <v>36880.434782608696</v>
      </c>
      <c r="L45" s="17">
        <v>3423.9130434782605</v>
      </c>
      <c r="M45" s="17">
        <v>80041.30434782608</v>
      </c>
      <c r="N45" s="7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x14ac:dyDescent="0.25" r="46" customHeight="1" ht="18">
      <c r="A46" s="15">
        <v>45399.416666666664</v>
      </c>
      <c r="B46" s="12">
        <v>2137</v>
      </c>
      <c r="C46" s="12">
        <v>165</v>
      </c>
      <c r="D46" s="12">
        <v>4662</v>
      </c>
      <c r="E46" s="12">
        <v>2568</v>
      </c>
      <c r="F46" s="12">
        <v>2595</v>
      </c>
      <c r="G46" s="12">
        <v>2645</v>
      </c>
      <c r="H46" s="16">
        <f>AVERAGE(E46:G46)*1000/49350</f>
      </c>
      <c r="I46" s="6" t="s">
        <v>12</v>
      </c>
      <c r="J46" s="12">
        <v>1</v>
      </c>
      <c r="K46" s="17">
        <v>40520.34451844263</v>
      </c>
      <c r="L46" s="17">
        <v>3128.618084016394</v>
      </c>
      <c r="M46" s="17">
        <v>88397.68186475411</v>
      </c>
      <c r="N46" s="7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x14ac:dyDescent="0.25" r="47" customHeight="1" ht="18">
      <c r="A47" s="15">
        <v>45400.416666666664</v>
      </c>
      <c r="B47" s="12">
        <v>2378</v>
      </c>
      <c r="C47" s="12">
        <v>3</v>
      </c>
      <c r="D47" s="12">
        <v>4926</v>
      </c>
      <c r="E47" s="12">
        <v>2330</v>
      </c>
      <c r="F47" s="12">
        <v>2438</v>
      </c>
      <c r="G47" s="12">
        <v>2470</v>
      </c>
      <c r="H47" s="16">
        <f>AVERAGE(E47:G47)*1000/49350</f>
      </c>
      <c r="I47" s="6" t="s">
        <v>12</v>
      </c>
      <c r="J47" s="12">
        <v>1</v>
      </c>
      <c r="K47" s="17">
        <v>48640.909090909096</v>
      </c>
      <c r="L47" s="17">
        <v>61.36363636363637</v>
      </c>
      <c r="M47" s="17">
        <v>100759.09090909091</v>
      </c>
      <c r="N47" s="7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x14ac:dyDescent="0.25" r="48" customHeight="1" ht="18">
      <c r="A48" s="15">
        <v>45401.416666666664</v>
      </c>
      <c r="B48" s="12">
        <v>2209</v>
      </c>
      <c r="C48" s="12">
        <v>257</v>
      </c>
      <c r="D48" s="12">
        <v>4086</v>
      </c>
      <c r="E48" s="12">
        <v>2601</v>
      </c>
      <c r="F48" s="12">
        <v>2463</v>
      </c>
      <c r="G48" s="12">
        <v>2541</v>
      </c>
      <c r="H48" s="16">
        <f>AVERAGE(E48:G48)*1000/49350</f>
      </c>
      <c r="I48" s="6" t="s">
        <v>12</v>
      </c>
      <c r="J48" s="12">
        <v>1</v>
      </c>
      <c r="K48" s="17">
        <v>43003.60946745562</v>
      </c>
      <c r="L48" s="17">
        <v>5003.136094674556</v>
      </c>
      <c r="M48" s="17">
        <v>79544.02366863906</v>
      </c>
      <c r="N48" s="7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x14ac:dyDescent="0.25" r="49" customHeight="1" ht="18">
      <c r="A49" s="15">
        <v>45404.416666666664</v>
      </c>
      <c r="B49" s="12">
        <v>454</v>
      </c>
      <c r="C49" s="12">
        <v>235</v>
      </c>
      <c r="D49" s="12">
        <v>704</v>
      </c>
      <c r="E49" s="12">
        <v>2547</v>
      </c>
      <c r="F49" s="12">
        <v>2559</v>
      </c>
      <c r="G49" s="12">
        <v>2540</v>
      </c>
      <c r="H49" s="16">
        <f>AVERAGE(E49:G49)*1000/49350</f>
      </c>
      <c r="I49" s="6" t="s">
        <v>12</v>
      </c>
      <c r="J49" s="12">
        <v>1</v>
      </c>
      <c r="K49" s="17">
        <v>8790.831807481036</v>
      </c>
      <c r="L49" s="17">
        <v>4550.320428982474</v>
      </c>
      <c r="M49" s="17">
        <v>13631.598221292179</v>
      </c>
      <c r="N49" s="7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x14ac:dyDescent="0.25" r="50" customHeight="1" ht="18">
      <c r="A50" s="15">
        <v>45405.416666666664</v>
      </c>
      <c r="B50" s="12">
        <v>212</v>
      </c>
      <c r="C50" s="12">
        <v>357</v>
      </c>
      <c r="D50" s="12">
        <v>772</v>
      </c>
      <c r="E50" s="12">
        <v>2494</v>
      </c>
      <c r="F50" s="12">
        <v>2590</v>
      </c>
      <c r="G50" s="12">
        <v>2532</v>
      </c>
      <c r="H50" s="16">
        <f>AVERAGE(E50:G50)*1000/49350</f>
      </c>
      <c r="I50" s="6" t="s">
        <v>12</v>
      </c>
      <c r="J50" s="12">
        <v>1</v>
      </c>
      <c r="K50" s="17">
        <v>4121.139705882353</v>
      </c>
      <c r="L50" s="17">
        <v>6939.843750000001</v>
      </c>
      <c r="M50" s="17">
        <v>15007.16911764706</v>
      </c>
      <c r="N50" s="7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x14ac:dyDescent="0.25" r="51" customHeight="1" ht="18">
      <c r="A51" s="15">
        <v>45406.416666666664</v>
      </c>
      <c r="B51" s="12">
        <v>231</v>
      </c>
      <c r="C51" s="12">
        <v>369</v>
      </c>
      <c r="D51" s="12">
        <v>931</v>
      </c>
      <c r="E51" s="12">
        <v>2663</v>
      </c>
      <c r="F51" s="12">
        <v>2506</v>
      </c>
      <c r="G51" s="12">
        <v>2654</v>
      </c>
      <c r="H51" s="16">
        <f>AVERAGE(E51:G51)*1000/49350</f>
      </c>
      <c r="I51" s="6" t="s">
        <v>12</v>
      </c>
      <c r="J51" s="12">
        <v>1</v>
      </c>
      <c r="K51" s="17">
        <v>4371.666879713665</v>
      </c>
      <c r="L51" s="17">
        <v>6983.312028633517</v>
      </c>
      <c r="M51" s="17">
        <v>17619.14227278538</v>
      </c>
      <c r="N51" s="7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x14ac:dyDescent="0.25" r="52" customHeight="1" ht="18">
      <c r="A52" s="15">
        <v>45407.416666666664</v>
      </c>
      <c r="B52" s="12">
        <v>207</v>
      </c>
      <c r="C52" s="12">
        <v>390</v>
      </c>
      <c r="D52" s="12">
        <v>899</v>
      </c>
      <c r="E52" s="12">
        <v>2579</v>
      </c>
      <c r="F52" s="12">
        <v>2594</v>
      </c>
      <c r="G52" s="12">
        <v>2617</v>
      </c>
      <c r="H52" s="16">
        <f>AVERAGE(E52:G52)*1000/49350</f>
      </c>
      <c r="I52" s="6" t="s">
        <v>12</v>
      </c>
      <c r="J52" s="12">
        <v>1</v>
      </c>
      <c r="K52" s="17">
        <v>3934.0629011553274</v>
      </c>
      <c r="L52" s="17">
        <v>7412.002567394095</v>
      </c>
      <c r="M52" s="17">
        <v>17085.6161745828</v>
      </c>
      <c r="N52" s="7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x14ac:dyDescent="0.25" r="53" customHeight="1" ht="18">
      <c r="A53" s="15">
        <v>45408.416666666664</v>
      </c>
      <c r="B53" s="12">
        <v>187</v>
      </c>
      <c r="C53" s="12">
        <v>391</v>
      </c>
      <c r="D53" s="12">
        <v>816</v>
      </c>
      <c r="E53" s="12">
        <v>2640</v>
      </c>
      <c r="F53" s="12">
        <v>2555</v>
      </c>
      <c r="G53" s="12">
        <v>2551</v>
      </c>
      <c r="H53" s="16">
        <f>AVERAGE(E53:G53)*1000/49350</f>
      </c>
      <c r="I53" s="6" t="s">
        <v>12</v>
      </c>
      <c r="J53" s="12">
        <v>1</v>
      </c>
      <c r="K53" s="17">
        <v>3574.147947327653</v>
      </c>
      <c r="L53" s="17">
        <v>7473.218435321456</v>
      </c>
      <c r="M53" s="17">
        <v>15596.281951975212</v>
      </c>
      <c r="N53" s="7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x14ac:dyDescent="0.25" r="54" customHeight="1" ht="18">
      <c r="A54" s="15"/>
      <c r="B54" s="7"/>
      <c r="C54" s="7"/>
      <c r="D54" s="7"/>
      <c r="E54" s="7"/>
      <c r="F54" s="7"/>
      <c r="G54" s="7"/>
      <c r="H54" s="13"/>
      <c r="I54" s="6"/>
      <c r="J54" s="7"/>
      <c r="K54" s="11"/>
      <c r="L54" s="11"/>
      <c r="M54" s="11"/>
      <c r="N54" s="7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x14ac:dyDescent="0.25" r="55" customHeight="1" ht="18">
      <c r="A55" s="15"/>
      <c r="B55" s="7"/>
      <c r="C55" s="7"/>
      <c r="D55" s="7"/>
      <c r="E55" s="7"/>
      <c r="F55" s="7"/>
      <c r="G55" s="7"/>
      <c r="H55" s="13"/>
      <c r="I55" s="6"/>
      <c r="J55" s="7"/>
      <c r="K55" s="11"/>
      <c r="L55" s="11"/>
      <c r="M55" s="11"/>
      <c r="N55" s="7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x14ac:dyDescent="0.25" r="56" customHeight="1" ht="18">
      <c r="A56" s="15"/>
      <c r="B56" s="7"/>
      <c r="C56" s="7"/>
      <c r="D56" s="7"/>
      <c r="E56" s="7"/>
      <c r="F56" s="7"/>
      <c r="G56" s="7"/>
      <c r="H56" s="13"/>
      <c r="I56" s="6"/>
      <c r="J56" s="7"/>
      <c r="K56" s="11"/>
      <c r="L56" s="11"/>
      <c r="M56" s="11"/>
      <c r="N56" s="7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</sheetData>
  <mergeCells count="3">
    <mergeCell ref="A1:M1"/>
    <mergeCell ref="B2:D2"/>
    <mergeCell ref="E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X59"/>
  <sheetViews>
    <sheetView workbookViewId="0"/>
  </sheetViews>
  <sheetFormatPr defaultRowHeight="15" x14ac:dyDescent="0.25"/>
  <cols>
    <col min="1" max="1" style="21" width="17.576428571428572" customWidth="1" bestFit="1"/>
    <col min="2" max="2" style="20" width="13.005" customWidth="1" bestFit="1"/>
    <col min="3" max="3" style="20" width="13.005" customWidth="1" bestFit="1"/>
    <col min="4" max="4" style="20" width="13.005" customWidth="1" bestFit="1"/>
    <col min="5" max="5" style="20" width="13.005" customWidth="1" bestFit="1"/>
    <col min="6" max="6" style="20" width="13.005" customWidth="1" bestFit="1"/>
    <col min="7" max="7" style="20" width="13.005" customWidth="1" bestFit="1"/>
    <col min="8" max="8" style="22" width="13.005" customWidth="1" bestFit="1"/>
    <col min="9" max="9" style="23" width="13.005" customWidth="1" bestFit="1"/>
    <col min="10" max="10" style="20" width="13.005" customWidth="1" bestFit="1"/>
    <col min="11" max="11" style="24" width="13.005" customWidth="1" bestFit="1"/>
    <col min="12" max="12" style="24" width="13.005" customWidth="1" bestFit="1"/>
    <col min="13" max="13" style="24" width="13.005" customWidth="1" bestFit="1"/>
    <col min="14" max="14" style="20" width="13.005" customWidth="1" bestFit="1"/>
    <col min="15" max="15" style="23" width="13.005" customWidth="1" bestFit="1"/>
    <col min="16" max="16" style="23" width="13.005" customWidth="1" bestFit="1"/>
    <col min="17" max="17" style="23" width="13.005" customWidth="1" bestFit="1"/>
    <col min="18" max="18" style="23" width="13.005" customWidth="1" bestFit="1"/>
    <col min="19" max="19" style="23" width="13.005" customWidth="1" bestFit="1"/>
    <col min="20" max="20" style="23" width="13.005" customWidth="1" bestFit="1"/>
    <col min="21" max="21" style="23" width="13.005" customWidth="1" bestFit="1"/>
    <col min="22" max="22" style="23" width="13.005" customWidth="1" bestFit="1"/>
    <col min="23" max="23" style="23" width="13.005" customWidth="1" bestFit="1"/>
    <col min="24" max="24" style="23" width="13.005" customWidth="1" bestFit="1"/>
    <col min="25" max="25" style="23" width="13.005" customWidth="1" bestFit="1"/>
    <col min="26" max="26" style="23" width="13.005" customWidth="1" bestFit="1"/>
    <col min="27" max="27" style="23" width="13.005" customWidth="1" bestFit="1"/>
    <col min="28" max="28" style="23" width="13.005" customWidth="1" bestFit="1"/>
    <col min="29" max="29" style="23" width="13.005" customWidth="1" bestFit="1"/>
    <col min="30" max="30" style="23" width="13.005" customWidth="1" bestFit="1"/>
    <col min="31" max="31" style="23" width="13.005" customWidth="1" bestFit="1"/>
    <col min="32" max="32" style="23" width="13.005" customWidth="1" bestFit="1"/>
    <col min="33" max="33" style="23" width="13.005" customWidth="1" bestFit="1"/>
    <col min="34" max="34" style="23" width="13.005" customWidth="1" bestFit="1"/>
    <col min="35" max="35" style="23" width="13.005" customWidth="1" bestFit="1"/>
    <col min="36" max="36" style="23" width="13.005" customWidth="1" bestFit="1"/>
    <col min="37" max="37" style="23" width="13.005" customWidth="1" bestFit="1"/>
    <col min="38" max="38" style="23" width="13.005" customWidth="1" bestFit="1"/>
    <col min="39" max="39" style="23" width="13.005" customWidth="1" bestFit="1"/>
    <col min="40" max="40" style="23" width="13.005" customWidth="1" bestFit="1"/>
    <col min="41" max="41" style="23" width="13.005" customWidth="1" bestFit="1"/>
    <col min="42" max="42" style="23" width="13.005" customWidth="1" bestFit="1"/>
    <col min="43" max="43" style="23" width="13.005" customWidth="1" bestFit="1"/>
    <col min="44" max="44" style="23" width="13.005" customWidth="1" bestFit="1"/>
    <col min="45" max="45" style="23" width="13.005" customWidth="1" bestFit="1"/>
    <col min="46" max="46" style="23" width="13.005" customWidth="1" bestFit="1"/>
    <col min="47" max="47" style="23" width="13.005" customWidth="1" bestFit="1"/>
    <col min="48" max="48" style="23" width="13.005" customWidth="1" bestFit="1"/>
    <col min="49" max="49" style="23" width="13.005" customWidth="1" bestFit="1"/>
    <col min="50" max="50" style="23" width="13.005" customWidth="1" bestFit="1"/>
    <col min="51" max="51" style="23" width="13.005" customWidth="1" bestFit="1"/>
    <col min="52" max="52" style="23" width="13.005" customWidth="1" bestFit="1"/>
    <col min="53" max="53" style="23" width="13.005" customWidth="1" bestFit="1"/>
    <col min="54" max="54" style="23" width="13.005" customWidth="1" bestFit="1"/>
    <col min="55" max="55" style="23" width="13.005" customWidth="1" bestFit="1"/>
    <col min="56" max="56" style="23" width="13.005" customWidth="1" bestFit="1"/>
    <col min="57" max="57" style="23" width="13.005" customWidth="1" bestFit="1"/>
    <col min="58" max="58" style="23" width="13.005" customWidth="1" bestFit="1"/>
    <col min="59" max="59" style="23" width="13.005" customWidth="1" bestFit="1"/>
    <col min="60" max="60" style="23" width="13.005" customWidth="1" bestFit="1"/>
    <col min="61" max="61" style="23" width="13.005" customWidth="1" bestFit="1"/>
    <col min="62" max="62" style="23" width="13.005" customWidth="1" bestFit="1"/>
    <col min="63" max="63" style="23" width="13.005" customWidth="1" bestFit="1"/>
    <col min="64" max="64" style="23" width="13.005" customWidth="1" bestFit="1"/>
    <col min="65" max="65" style="23" width="13.005" customWidth="1" bestFit="1"/>
    <col min="66" max="66" style="23" width="13.005" customWidth="1" bestFit="1"/>
    <col min="67" max="67" style="23" width="13.005" customWidth="1" bestFit="1"/>
    <col min="68" max="68" style="23" width="13.005" customWidth="1" bestFit="1"/>
    <col min="69" max="69" style="23" width="13.005" customWidth="1" bestFit="1"/>
    <col min="70" max="70" style="23" width="13.005" customWidth="1" bestFit="1"/>
    <col min="71" max="71" style="23" width="13.005" customWidth="1" bestFit="1"/>
    <col min="72" max="72" style="23" width="13.005" customWidth="1" bestFit="1"/>
    <col min="73" max="73" style="23" width="13.005" customWidth="1" bestFit="1"/>
    <col min="74" max="74" style="23" width="13.005" customWidth="1" bestFit="1"/>
    <col min="75" max="75" style="23" width="13.005" customWidth="1" bestFit="1"/>
    <col min="76" max="76" style="23" width="13.005" customWidth="1" bestFit="1"/>
    <col min="77" max="77" style="23" width="13.005" customWidth="1" bestFit="1"/>
    <col min="78" max="78" style="23" width="13.005" customWidth="1" bestFit="1"/>
    <col min="79" max="79" style="23" width="13.005" customWidth="1" bestFit="1"/>
    <col min="80" max="80" style="23" width="13.005" customWidth="1" bestFit="1"/>
    <col min="81" max="81" style="23" width="13.005" customWidth="1" bestFit="1"/>
    <col min="82" max="82" style="23" width="13.005" customWidth="1" bestFit="1"/>
    <col min="83" max="83" style="23" width="13.005" customWidth="1" bestFit="1"/>
    <col min="84" max="84" style="23" width="13.005" customWidth="1" bestFit="1"/>
    <col min="85" max="85" style="23" width="13.005" customWidth="1" bestFit="1"/>
    <col min="86" max="86" style="23" width="13.005" customWidth="1" bestFit="1"/>
    <col min="87" max="87" style="23" width="13.005" customWidth="1" bestFit="1"/>
    <col min="88" max="88" style="23" width="13.005" customWidth="1" bestFit="1"/>
    <col min="89" max="89" style="23" width="13.005" customWidth="1" bestFit="1"/>
    <col min="90" max="90" style="23" width="13.005" customWidth="1" bestFit="1"/>
    <col min="91" max="91" style="23" width="13.005" customWidth="1" bestFit="1"/>
    <col min="92" max="92" style="23" width="13.005" customWidth="1" bestFit="1"/>
    <col min="93" max="93" style="23" width="13.005" customWidth="1" bestFit="1"/>
    <col min="94" max="94" style="23" width="13.005" customWidth="1" bestFit="1"/>
    <col min="95" max="95" style="23" width="13.005" customWidth="1" bestFit="1"/>
    <col min="96" max="96" style="23" width="13.005" customWidth="1" bestFit="1"/>
    <col min="97" max="97" style="23" width="13.005" customWidth="1" bestFit="1"/>
    <col min="98" max="98" style="23" width="13.005" customWidth="1" bestFit="1"/>
    <col min="99" max="99" style="23" width="13.005" customWidth="1" bestFit="1"/>
    <col min="100" max="100" style="23" width="13.005" customWidth="1" bestFit="1"/>
    <col min="101" max="101" style="23" width="13.005" customWidth="1" bestFit="1"/>
    <col min="102" max="102" style="23" width="13.005" customWidth="1" bestFit="1"/>
  </cols>
  <sheetData>
    <row x14ac:dyDescent="0.25" r="1" customHeight="1" ht="18">
      <c r="A1" s="26" t="s">
        <v>54</v>
      </c>
      <c r="B1" s="25"/>
      <c r="C1" s="25"/>
      <c r="D1" s="25"/>
      <c r="E1" s="25"/>
      <c r="F1" s="25"/>
      <c r="G1" s="25"/>
      <c r="H1" s="27"/>
      <c r="I1" s="28"/>
      <c r="J1" s="25"/>
      <c r="K1" s="29"/>
      <c r="L1" s="29"/>
      <c r="M1" s="29"/>
      <c r="N1" s="25"/>
      <c r="O1" s="28"/>
      <c r="P1" s="28"/>
      <c r="Q1" s="28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</row>
    <row x14ac:dyDescent="0.25" r="2" customHeight="1" ht="18">
      <c r="A2" s="8" t="s">
        <v>2</v>
      </c>
      <c r="B2" s="9" t="s">
        <v>3</v>
      </c>
      <c r="C2" s="9"/>
      <c r="D2" s="9"/>
      <c r="E2" s="9" t="s">
        <v>4</v>
      </c>
      <c r="F2" s="9"/>
      <c r="G2" s="9"/>
      <c r="H2" s="10"/>
      <c r="I2" s="6" t="s">
        <v>5</v>
      </c>
      <c r="J2" s="7" t="s">
        <v>6</v>
      </c>
      <c r="K2" s="11" t="s">
        <v>7</v>
      </c>
      <c r="L2" s="11"/>
      <c r="M2" s="11"/>
      <c r="N2" s="7" t="s">
        <v>18</v>
      </c>
      <c r="O2" s="6" t="s">
        <v>19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</row>
    <row x14ac:dyDescent="0.25" r="3" customHeight="1" ht="18">
      <c r="A3" s="8"/>
      <c r="B3" s="7" t="s">
        <v>8</v>
      </c>
      <c r="C3" s="7" t="s">
        <v>9</v>
      </c>
      <c r="D3" s="7" t="s">
        <v>10</v>
      </c>
      <c r="E3" s="12">
        <v>1</v>
      </c>
      <c r="F3" s="12">
        <v>2</v>
      </c>
      <c r="G3" s="12">
        <v>3</v>
      </c>
      <c r="H3" s="13" t="s">
        <v>11</v>
      </c>
      <c r="I3" s="6"/>
      <c r="J3" s="7"/>
      <c r="K3" s="11" t="s">
        <v>8</v>
      </c>
      <c r="L3" s="11" t="s">
        <v>9</v>
      </c>
      <c r="M3" s="11" t="s">
        <v>10</v>
      </c>
      <c r="N3" s="7"/>
      <c r="O3" s="6" t="s">
        <v>8</v>
      </c>
      <c r="P3" s="6" t="s">
        <v>9</v>
      </c>
      <c r="Q3" s="6" t="s">
        <v>10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</row>
    <row x14ac:dyDescent="0.25" r="4" customHeight="1" ht="18">
      <c r="A4" s="15">
        <v>45341.625</v>
      </c>
      <c r="B4" s="12">
        <v>53053</v>
      </c>
      <c r="C4" s="12">
        <v>55556</v>
      </c>
      <c r="D4" s="12">
        <v>53318</v>
      </c>
      <c r="E4" s="12">
        <v>2227</v>
      </c>
      <c r="F4" s="12">
        <v>2388</v>
      </c>
      <c r="G4" s="12">
        <v>2329</v>
      </c>
      <c r="H4" s="16">
        <f>AVERAGE(E4:G4)*1000/47400</f>
      </c>
      <c r="I4" s="6" t="s">
        <v>12</v>
      </c>
      <c r="J4" s="12">
        <v>1</v>
      </c>
      <c r="K4" s="17">
        <v>1086425.2016129033</v>
      </c>
      <c r="L4" s="17">
        <v>1137681.9124423964</v>
      </c>
      <c r="M4" s="17">
        <v>1091851.900921659</v>
      </c>
      <c r="N4" s="7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x14ac:dyDescent="0.25" r="5" customHeight="1" ht="18">
      <c r="A5" s="15">
        <v>45342.395833333336</v>
      </c>
      <c r="B5" s="12">
        <v>34746</v>
      </c>
      <c r="C5" s="12">
        <v>40091</v>
      </c>
      <c r="D5" s="12">
        <v>37531</v>
      </c>
      <c r="E5" s="12">
        <v>1271</v>
      </c>
      <c r="F5" s="12">
        <v>1293</v>
      </c>
      <c r="G5" s="12">
        <v>1315</v>
      </c>
      <c r="H5" s="16">
        <f>AVERAGE(E5:G5)*1000/47400</f>
      </c>
      <c r="I5" s="6" t="s">
        <v>13</v>
      </c>
      <c r="J5" s="12">
        <v>1</v>
      </c>
      <c r="K5" s="17">
        <v>1273751.2761020882</v>
      </c>
      <c r="L5" s="17">
        <v>1469693.2714617169</v>
      </c>
      <c r="M5" s="17">
        <v>1375846.4037122969</v>
      </c>
      <c r="N5" s="7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</row>
    <row x14ac:dyDescent="0.25" r="6" customHeight="1" ht="18">
      <c r="A6" s="15">
        <v>45343.395833333336</v>
      </c>
      <c r="B6" s="12">
        <v>9918</v>
      </c>
      <c r="C6" s="12">
        <v>11092</v>
      </c>
      <c r="D6" s="12">
        <v>10412</v>
      </c>
      <c r="E6" s="12">
        <v>2458</v>
      </c>
      <c r="F6" s="12">
        <v>2448</v>
      </c>
      <c r="G6" s="12">
        <v>2527</v>
      </c>
      <c r="H6" s="16">
        <f>AVERAGE(E6:G6)*1000/47400</f>
      </c>
      <c r="I6" s="6" t="s">
        <v>12</v>
      </c>
      <c r="J6" s="12">
        <v>10</v>
      </c>
      <c r="K6" s="17">
        <v>1897402.9328669447</v>
      </c>
      <c r="L6" s="17">
        <v>2121999.7309296383</v>
      </c>
      <c r="M6" s="17">
        <v>1991909.5923584017</v>
      </c>
      <c r="N6" s="12">
        <v>1</v>
      </c>
      <c r="O6" s="41" t="s">
        <v>29</v>
      </c>
      <c r="P6" s="41" t="s">
        <v>30</v>
      </c>
      <c r="Q6" s="41" t="s">
        <v>31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</row>
    <row x14ac:dyDescent="0.25" r="7" customHeight="1" ht="18">
      <c r="A7" s="15">
        <v>45344.395833333336</v>
      </c>
      <c r="B7" s="12">
        <v>7500</v>
      </c>
      <c r="C7" s="12">
        <v>7459</v>
      </c>
      <c r="D7" s="12">
        <v>7790</v>
      </c>
      <c r="E7" s="12">
        <v>2632</v>
      </c>
      <c r="F7" s="12">
        <v>2515</v>
      </c>
      <c r="G7" s="12">
        <v>2523</v>
      </c>
      <c r="H7" s="16">
        <f>AVERAGE(E7:G7)*1000/47400</f>
      </c>
      <c r="I7" s="6" t="s">
        <v>12</v>
      </c>
      <c r="J7" s="12">
        <v>10</v>
      </c>
      <c r="K7" s="17">
        <v>1390482.3989569754</v>
      </c>
      <c r="L7" s="17">
        <v>1382881.0951760106</v>
      </c>
      <c r="M7" s="17">
        <v>1444247.7183833118</v>
      </c>
      <c r="N7" s="12">
        <v>1</v>
      </c>
      <c r="O7" s="6" t="s">
        <v>55</v>
      </c>
      <c r="P7" s="6" t="s">
        <v>56</v>
      </c>
      <c r="Q7" s="6" t="s">
        <v>57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x14ac:dyDescent="0.25" r="8" customHeight="1" ht="18">
      <c r="A8" s="15">
        <v>45345.395833333336</v>
      </c>
      <c r="B8" s="12">
        <v>14935</v>
      </c>
      <c r="C8" s="12">
        <v>8446</v>
      </c>
      <c r="D8" s="12">
        <v>12423</v>
      </c>
      <c r="E8" s="12">
        <v>2632</v>
      </c>
      <c r="F8" s="12">
        <v>2515</v>
      </c>
      <c r="G8" s="12">
        <v>2523</v>
      </c>
      <c r="H8" s="16">
        <f>AVERAGE(E8:G8)*1000/47400</f>
      </c>
      <c r="I8" s="6" t="s">
        <v>12</v>
      </c>
      <c r="J8" s="16">
        <v>1.0000000000000002</v>
      </c>
      <c r="K8" s="17">
        <v>276891.3950456324</v>
      </c>
      <c r="L8" s="17">
        <v>156586.85788787485</v>
      </c>
      <c r="M8" s="17">
        <v>230319.5045632334</v>
      </c>
      <c r="N8" s="12">
        <v>11</v>
      </c>
      <c r="O8" s="6" t="s">
        <v>58</v>
      </c>
      <c r="P8" s="6" t="s">
        <v>59</v>
      </c>
      <c r="Q8" s="6" t="s">
        <v>60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x14ac:dyDescent="0.25" r="9" customHeight="1" ht="18">
      <c r="A9" s="15">
        <v>45348.395833333336</v>
      </c>
      <c r="B9" s="12">
        <v>116</v>
      </c>
      <c r="C9" s="12">
        <v>157</v>
      </c>
      <c r="D9" s="12">
        <v>113</v>
      </c>
      <c r="E9" s="12">
        <v>2395</v>
      </c>
      <c r="F9" s="12">
        <v>2371</v>
      </c>
      <c r="G9" s="12">
        <v>2340</v>
      </c>
      <c r="H9" s="16">
        <f>AVERAGE(E9:G9)*1000/47400</f>
      </c>
      <c r="I9" s="6" t="s">
        <v>12</v>
      </c>
      <c r="J9" s="12">
        <v>1</v>
      </c>
      <c r="K9" s="17">
        <v>2321.3059386434</v>
      </c>
      <c r="L9" s="17">
        <v>3141.7675204052916</v>
      </c>
      <c r="M9" s="17">
        <v>2261.27216436814</v>
      </c>
      <c r="N9" s="12">
        <v>11</v>
      </c>
      <c r="O9" s="6" t="s">
        <v>61</v>
      </c>
      <c r="P9" s="6" t="s">
        <v>62</v>
      </c>
      <c r="Q9" s="6" t="s">
        <v>63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x14ac:dyDescent="0.25" r="10" customHeight="1" ht="18">
      <c r="A10" s="15">
        <v>45349.395833333336</v>
      </c>
      <c r="B10" s="12">
        <v>177</v>
      </c>
      <c r="C10" s="12">
        <v>250</v>
      </c>
      <c r="D10" s="12">
        <v>198</v>
      </c>
      <c r="E10" s="12">
        <v>2550</v>
      </c>
      <c r="F10" s="12">
        <v>2504</v>
      </c>
      <c r="G10" s="12">
        <v>2552</v>
      </c>
      <c r="H10" s="16">
        <f>AVERAGE(E10:G10)*1000/47400</f>
      </c>
      <c r="I10" s="6" t="s">
        <v>12</v>
      </c>
      <c r="J10" s="12">
        <v>1</v>
      </c>
      <c r="K10" s="17">
        <v>3309.150670523271</v>
      </c>
      <c r="L10" s="17">
        <v>4673.941625032869</v>
      </c>
      <c r="M10" s="17">
        <v>3701.7617670260315</v>
      </c>
      <c r="N10" s="12">
        <v>2</v>
      </c>
      <c r="O10" s="6" t="s">
        <v>64</v>
      </c>
      <c r="P10" s="6" t="s">
        <v>65</v>
      </c>
      <c r="Q10" s="6" t="s">
        <v>66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</row>
    <row x14ac:dyDescent="0.25" r="11" customHeight="1" ht="18">
      <c r="A11" s="15">
        <v>45350.395833333336</v>
      </c>
      <c r="B11" s="12">
        <v>322</v>
      </c>
      <c r="C11" s="12">
        <v>428</v>
      </c>
      <c r="D11" s="12">
        <v>361</v>
      </c>
      <c r="E11" s="12">
        <v>2599</v>
      </c>
      <c r="F11" s="12">
        <v>2587</v>
      </c>
      <c r="G11" s="12">
        <v>2639</v>
      </c>
      <c r="H11" s="16">
        <f>AVERAGE(E11:G11)*1000/47400</f>
      </c>
      <c r="I11" s="6" t="s">
        <v>12</v>
      </c>
      <c r="J11" s="12">
        <v>1</v>
      </c>
      <c r="K11" s="17">
        <v>5851.5527156549515</v>
      </c>
      <c r="L11" s="17">
        <v>7777.840255591053</v>
      </c>
      <c r="M11" s="17">
        <v>6560.281150159743</v>
      </c>
      <c r="N11" s="12">
        <v>2</v>
      </c>
      <c r="O11" s="6" t="s">
        <v>67</v>
      </c>
      <c r="P11" s="6" t="s">
        <v>68</v>
      </c>
      <c r="Q11" s="6" t="s">
        <v>69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</row>
    <row x14ac:dyDescent="0.25" r="12" customHeight="1" ht="18">
      <c r="A12" s="15">
        <v>45351.395833333336</v>
      </c>
      <c r="B12" s="12">
        <v>596</v>
      </c>
      <c r="C12" s="12">
        <v>821</v>
      </c>
      <c r="D12" s="12">
        <v>529</v>
      </c>
      <c r="E12" s="12">
        <v>2647</v>
      </c>
      <c r="F12" s="12">
        <v>2666</v>
      </c>
      <c r="G12" s="12">
        <v>2565</v>
      </c>
      <c r="H12" s="16">
        <f>AVERAGE(E12:G12)*1000/47400</f>
      </c>
      <c r="I12" s="6" t="s">
        <v>12</v>
      </c>
      <c r="J12" s="12">
        <v>1</v>
      </c>
      <c r="K12" s="17">
        <v>10757.958872810359</v>
      </c>
      <c r="L12" s="17">
        <v>14819.26884996192</v>
      </c>
      <c r="M12" s="17">
        <v>9548.591012947449</v>
      </c>
      <c r="N12" s="12">
        <v>12</v>
      </c>
      <c r="O12" s="6" t="s">
        <v>58</v>
      </c>
      <c r="P12" s="6" t="s">
        <v>59</v>
      </c>
      <c r="Q12" s="6" t="s">
        <v>60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</row>
    <row x14ac:dyDescent="0.25" r="13" customHeight="1" ht="18">
      <c r="A13" s="15">
        <v>45352.395833333336</v>
      </c>
      <c r="B13" s="12">
        <v>1060</v>
      </c>
      <c r="C13" s="12">
        <v>1503</v>
      </c>
      <c r="D13" s="12">
        <v>1095</v>
      </c>
      <c r="E13" s="12">
        <v>2474</v>
      </c>
      <c r="F13" s="12">
        <v>2453</v>
      </c>
      <c r="G13" s="12">
        <v>2516</v>
      </c>
      <c r="H13" s="16">
        <f>AVERAGE(E13:G13)*1000/47400</f>
      </c>
      <c r="I13" s="6" t="s">
        <v>12</v>
      </c>
      <c r="J13" s="12">
        <v>1</v>
      </c>
      <c r="K13" s="17">
        <v>20251.51148730351</v>
      </c>
      <c r="L13" s="17">
        <v>28715.11487303507</v>
      </c>
      <c r="M13" s="17">
        <v>20920.193470374852</v>
      </c>
      <c r="N13" s="12">
        <v>12</v>
      </c>
      <c r="O13" s="6" t="s">
        <v>20</v>
      </c>
      <c r="P13" s="6" t="s">
        <v>21</v>
      </c>
      <c r="Q13" s="6" t="s">
        <v>22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</row>
    <row x14ac:dyDescent="0.25" r="14" customHeight="1" ht="18">
      <c r="A14" s="15">
        <v>45355.395833333336</v>
      </c>
      <c r="B14" s="12">
        <v>6595</v>
      </c>
      <c r="C14" s="12">
        <v>8918</v>
      </c>
      <c r="D14" s="12">
        <v>6635</v>
      </c>
      <c r="E14" s="12">
        <v>2402</v>
      </c>
      <c r="F14" s="12">
        <v>2380</v>
      </c>
      <c r="G14" s="12">
        <v>2366</v>
      </c>
      <c r="H14" s="16">
        <f>AVERAGE(E14:G14)*1000/47400</f>
      </c>
      <c r="I14" s="6" t="s">
        <v>12</v>
      </c>
      <c r="J14" s="12">
        <v>1</v>
      </c>
      <c r="K14" s="17">
        <v>131198.7968662563</v>
      </c>
      <c r="L14" s="17">
        <v>177411.80749860103</v>
      </c>
      <c r="M14" s="17">
        <v>131994.5439283716</v>
      </c>
      <c r="N14" s="12">
        <v>3</v>
      </c>
      <c r="O14" s="6" t="s">
        <v>20</v>
      </c>
      <c r="P14" s="6" t="s">
        <v>21</v>
      </c>
      <c r="Q14" s="6" t="s">
        <v>22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</row>
    <row x14ac:dyDescent="0.25" r="15" customHeight="1" ht="18">
      <c r="A15" s="15">
        <v>45356.395833333336</v>
      </c>
      <c r="B15" s="12">
        <v>12445</v>
      </c>
      <c r="C15" s="12">
        <v>15886</v>
      </c>
      <c r="D15" s="12">
        <v>13053</v>
      </c>
      <c r="E15" s="12">
        <v>2723</v>
      </c>
      <c r="F15" s="12">
        <v>2624</v>
      </c>
      <c r="G15" s="12">
        <v>2557</v>
      </c>
      <c r="H15" s="16">
        <f>AVERAGE(E15:G15)*1000/47400</f>
      </c>
      <c r="I15" s="6" t="s">
        <v>12</v>
      </c>
      <c r="J15" s="12">
        <v>1</v>
      </c>
      <c r="K15" s="17">
        <v>223896.63461538465</v>
      </c>
      <c r="L15" s="17">
        <v>285803.2894736842</v>
      </c>
      <c r="M15" s="17">
        <v>234835.09615384619</v>
      </c>
      <c r="N15" s="12">
        <v>4</v>
      </c>
      <c r="O15" s="6" t="s">
        <v>29</v>
      </c>
      <c r="P15" s="6" t="s">
        <v>30</v>
      </c>
      <c r="Q15" s="6" t="s">
        <v>31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</row>
    <row x14ac:dyDescent="0.25" r="16" customHeight="1" ht="18">
      <c r="A16" s="15">
        <v>45357.395833333336</v>
      </c>
      <c r="B16" s="12">
        <v>21774</v>
      </c>
      <c r="C16" s="12">
        <v>24156</v>
      </c>
      <c r="D16" s="12">
        <v>22512</v>
      </c>
      <c r="E16" s="12">
        <v>2796</v>
      </c>
      <c r="F16" s="12">
        <v>2699</v>
      </c>
      <c r="G16" s="12">
        <v>2754</v>
      </c>
      <c r="H16" s="16">
        <f>AVERAGE(E16:G16)*1000/47400</f>
      </c>
      <c r="I16" s="6" t="s">
        <v>12</v>
      </c>
      <c r="J16" s="12">
        <v>1</v>
      </c>
      <c r="K16" s="17">
        <v>375350.07879743003</v>
      </c>
      <c r="L16" s="17">
        <v>416412.074190811</v>
      </c>
      <c r="M16" s="17">
        <v>388072.0572190569</v>
      </c>
      <c r="N16" s="12">
        <v>5</v>
      </c>
      <c r="O16" s="6" t="s">
        <v>20</v>
      </c>
      <c r="P16" s="6" t="s">
        <v>21</v>
      </c>
      <c r="Q16" s="6" t="s">
        <v>22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</row>
    <row x14ac:dyDescent="0.25" r="17" customHeight="1" ht="18">
      <c r="A17" s="15">
        <v>45358.395833333336</v>
      </c>
      <c r="B17" s="12">
        <v>36648</v>
      </c>
      <c r="C17" s="12">
        <v>40379</v>
      </c>
      <c r="D17" s="12">
        <v>40582</v>
      </c>
      <c r="E17" s="12">
        <v>2639</v>
      </c>
      <c r="F17" s="12">
        <v>2550</v>
      </c>
      <c r="G17" s="12">
        <v>2603</v>
      </c>
      <c r="H17" s="16">
        <f>AVERAGE(E17:G17)*1000/47400</f>
      </c>
      <c r="I17" s="6" t="s">
        <v>12</v>
      </c>
      <c r="J17" s="12">
        <v>1</v>
      </c>
      <c r="K17" s="17">
        <v>668807.1868583162</v>
      </c>
      <c r="L17" s="17">
        <v>736896.0215605749</v>
      </c>
      <c r="M17" s="17">
        <v>740600.6673511293</v>
      </c>
      <c r="N17" s="12">
        <v>5</v>
      </c>
      <c r="O17" s="6" t="s">
        <v>58</v>
      </c>
      <c r="P17" s="6" t="s">
        <v>59</v>
      </c>
      <c r="Q17" s="6" t="s">
        <v>60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</row>
    <row x14ac:dyDescent="0.25" r="18" customHeight="1" ht="18">
      <c r="A18" s="15">
        <v>45359.395833333336</v>
      </c>
      <c r="B18" s="12">
        <v>14576</v>
      </c>
      <c r="C18" s="12">
        <v>16721</v>
      </c>
      <c r="D18" s="12">
        <v>15468</v>
      </c>
      <c r="E18" s="12">
        <v>2480</v>
      </c>
      <c r="F18" s="12">
        <v>2381</v>
      </c>
      <c r="G18" s="12">
        <v>2327</v>
      </c>
      <c r="H18" s="16">
        <f>AVERAGE(E18:G18)*1000/47400</f>
      </c>
      <c r="I18" s="6" t="s">
        <v>12</v>
      </c>
      <c r="J18" s="12">
        <v>3</v>
      </c>
      <c r="K18" s="17">
        <v>865069.7829716193</v>
      </c>
      <c r="L18" s="17">
        <v>992373.205342237</v>
      </c>
      <c r="M18" s="17">
        <v>918009.0150250416</v>
      </c>
      <c r="N18" s="12">
        <v>6</v>
      </c>
      <c r="O18" s="6" t="s">
        <v>20</v>
      </c>
      <c r="P18" s="6" t="s">
        <v>21</v>
      </c>
      <c r="Q18" s="6" t="s">
        <v>22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</row>
    <row x14ac:dyDescent="0.25" r="19" customHeight="1" ht="18">
      <c r="A19" s="15">
        <v>45363.395833333336</v>
      </c>
      <c r="B19" s="12">
        <v>19633</v>
      </c>
      <c r="C19" s="12">
        <v>23487</v>
      </c>
      <c r="D19" s="12">
        <v>17844</v>
      </c>
      <c r="E19" s="12">
        <v>2284</v>
      </c>
      <c r="F19" s="12">
        <v>2309</v>
      </c>
      <c r="G19" s="12">
        <v>2349</v>
      </c>
      <c r="H19" s="16">
        <f>AVERAGE(E19:G19)*1000/49350</f>
      </c>
      <c r="I19" s="6" t="s">
        <v>12</v>
      </c>
      <c r="J19" s="12">
        <v>20</v>
      </c>
      <c r="K19" s="17">
        <v>8374144.770959377</v>
      </c>
      <c r="L19" s="17">
        <v>10018007.346585998</v>
      </c>
      <c r="M19" s="17">
        <v>7611075.194468453</v>
      </c>
      <c r="N19" s="12">
        <v>6</v>
      </c>
      <c r="O19" s="6" t="s">
        <v>58</v>
      </c>
      <c r="P19" s="6" t="s">
        <v>59</v>
      </c>
      <c r="Q19" s="6" t="s">
        <v>60</v>
      </c>
      <c r="R19" s="6"/>
      <c r="S19" s="6"/>
      <c r="T19" s="6"/>
      <c r="U19" s="6"/>
      <c r="V19" s="18"/>
      <c r="W19" s="6"/>
      <c r="X19" s="6"/>
      <c r="Y19" s="6"/>
      <c r="Z19" s="6"/>
      <c r="AA19" s="6"/>
      <c r="AB19" s="6"/>
      <c r="AC19" s="18"/>
      <c r="AD19" s="6"/>
      <c r="AE19" s="6"/>
      <c r="AF19" s="18"/>
      <c r="AG19" s="6"/>
      <c r="AH19" s="6"/>
      <c r="AI19" s="18"/>
      <c r="AJ19" s="6"/>
      <c r="AK19" s="6"/>
      <c r="AL19" s="18"/>
      <c r="AM19" s="6"/>
      <c r="AN19" s="6"/>
      <c r="AO19" s="18"/>
      <c r="AP19" s="6"/>
      <c r="AQ19" s="6"/>
      <c r="AR19" s="18"/>
      <c r="AS19" s="6"/>
      <c r="AT19" s="6"/>
      <c r="AU19" s="6"/>
      <c r="AV19" s="6"/>
      <c r="AW19" s="18"/>
      <c r="AX19" s="6"/>
      <c r="AY19" s="6"/>
      <c r="AZ19" s="6"/>
      <c r="BA19" s="6"/>
      <c r="BB19" s="18"/>
      <c r="BC19" s="6"/>
      <c r="BD19" s="6"/>
      <c r="BE19" s="6"/>
      <c r="BF19" s="6"/>
      <c r="BG19" s="18"/>
      <c r="BH19" s="6"/>
      <c r="BI19" s="6"/>
      <c r="BJ19" s="6"/>
      <c r="BK19" s="6"/>
      <c r="BL19" s="18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36"/>
      <c r="CT19" s="6"/>
      <c r="CU19" s="6"/>
      <c r="CV19" s="6"/>
      <c r="CW19" s="6"/>
      <c r="CX19" s="36"/>
    </row>
    <row x14ac:dyDescent="0.25" r="20" customHeight="1" ht="18">
      <c r="A20" s="15">
        <v>45364.395833333336</v>
      </c>
      <c r="B20" s="12">
        <v>24257</v>
      </c>
      <c r="C20" s="12">
        <v>32090</v>
      </c>
      <c r="D20" s="12">
        <v>24638</v>
      </c>
      <c r="E20" s="12">
        <v>2272</v>
      </c>
      <c r="F20" s="12">
        <v>2204</v>
      </c>
      <c r="G20" s="12">
        <v>2254</v>
      </c>
      <c r="H20" s="16">
        <f>AVERAGE(E20:G20)*1000/49350</f>
      </c>
      <c r="I20" s="6" t="s">
        <v>12</v>
      </c>
      <c r="J20" s="12">
        <v>20</v>
      </c>
      <c r="K20" s="17">
        <v>10672359.138187222</v>
      </c>
      <c r="L20" s="17">
        <v>14118646.359583952</v>
      </c>
      <c r="M20" s="17">
        <v>10839987.815750372</v>
      </c>
      <c r="N20" s="12">
        <v>7</v>
      </c>
      <c r="O20" s="6" t="s">
        <v>20</v>
      </c>
      <c r="P20" s="6" t="s">
        <v>21</v>
      </c>
      <c r="Q20" s="6" t="s">
        <v>22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36"/>
      <c r="CT20" s="6"/>
      <c r="CU20" s="6"/>
      <c r="CV20" s="6"/>
      <c r="CW20" s="6"/>
      <c r="CX20" s="36"/>
    </row>
    <row x14ac:dyDescent="0.25" r="21" customHeight="1" ht="18">
      <c r="A21" s="15">
        <v>45365.395833333336</v>
      </c>
      <c r="B21" s="12">
        <v>19695</v>
      </c>
      <c r="C21" s="12">
        <v>25404</v>
      </c>
      <c r="D21" s="12">
        <v>19396</v>
      </c>
      <c r="E21" s="12">
        <v>2462</v>
      </c>
      <c r="F21" s="12">
        <v>2461</v>
      </c>
      <c r="G21" s="12">
        <v>2486</v>
      </c>
      <c r="H21" s="16">
        <f>AVERAGE(E21:G21)*1000/49350</f>
      </c>
      <c r="I21" s="6" t="s">
        <v>12</v>
      </c>
      <c r="J21" s="12">
        <v>50</v>
      </c>
      <c r="K21" s="17">
        <v>19677721.352409232</v>
      </c>
      <c r="L21" s="17">
        <v>25381712.781751923</v>
      </c>
      <c r="M21" s="17">
        <v>19378983.66851127</v>
      </c>
      <c r="N21" s="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36"/>
      <c r="CT21" s="6"/>
      <c r="CU21" s="6"/>
      <c r="CV21" s="6"/>
      <c r="CW21" s="6"/>
      <c r="CX21" s="36"/>
    </row>
    <row x14ac:dyDescent="0.25" r="22" customHeight="1" ht="18">
      <c r="A22" s="15">
        <v>45366.395833333336</v>
      </c>
      <c r="B22" s="12">
        <v>28088</v>
      </c>
      <c r="C22" s="12">
        <v>39539</v>
      </c>
      <c r="D22" s="12">
        <v>35134</v>
      </c>
      <c r="E22" s="7"/>
      <c r="F22" s="7"/>
      <c r="G22" s="7"/>
      <c r="H22" s="16">
        <v>48.79</v>
      </c>
      <c r="I22" s="6" t="s">
        <v>12</v>
      </c>
      <c r="J22" s="12">
        <v>1</v>
      </c>
      <c r="K22" s="17">
        <v>28784587.005533922</v>
      </c>
      <c r="L22" s="17">
        <v>40519573.68313179</v>
      </c>
      <c r="M22" s="17">
        <v>36005328.96085264</v>
      </c>
      <c r="N22" s="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36"/>
      <c r="CT22" s="6"/>
      <c r="CU22" s="6"/>
      <c r="CV22" s="6"/>
      <c r="CW22" s="6"/>
      <c r="CX22" s="36"/>
    </row>
    <row x14ac:dyDescent="0.25" r="23" customHeight="1" ht="18">
      <c r="A23" s="15">
        <v>45366.729166666664</v>
      </c>
      <c r="B23" s="12">
        <v>66046</v>
      </c>
      <c r="C23" s="12">
        <v>63743</v>
      </c>
      <c r="D23" s="12">
        <v>63624</v>
      </c>
      <c r="E23" s="7"/>
      <c r="F23" s="7"/>
      <c r="G23" s="7"/>
      <c r="H23" s="16">
        <v>48.79</v>
      </c>
      <c r="I23" s="6" t="s">
        <v>12</v>
      </c>
      <c r="J23" s="16">
        <v>1.0000000000000002</v>
      </c>
      <c r="K23" s="17">
        <v>1353679.0325886454</v>
      </c>
      <c r="L23" s="17">
        <v>1306476.737036278</v>
      </c>
      <c r="M23" s="17">
        <v>1304037.712646034</v>
      </c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36"/>
      <c r="CT23" s="6"/>
      <c r="CU23" s="6"/>
      <c r="CV23" s="6"/>
      <c r="CW23" s="6"/>
      <c r="CX23" s="36"/>
    </row>
    <row x14ac:dyDescent="0.25" r="24" customHeight="1" ht="18">
      <c r="A24" s="15">
        <v>45367.395833333336</v>
      </c>
      <c r="B24" s="12">
        <v>55454</v>
      </c>
      <c r="C24" s="12">
        <v>42803</v>
      </c>
      <c r="D24" s="12">
        <v>42171</v>
      </c>
      <c r="E24" s="12">
        <v>1147</v>
      </c>
      <c r="F24" s="12">
        <v>1132</v>
      </c>
      <c r="G24" s="12">
        <v>1201</v>
      </c>
      <c r="H24" s="16">
        <f>AVERAGE(E24:G24)*1000/49350</f>
      </c>
      <c r="I24" s="6" t="s">
        <v>13</v>
      </c>
      <c r="J24" s="12">
        <v>1</v>
      </c>
      <c r="K24" s="17">
        <v>2359185.2586206896</v>
      </c>
      <c r="L24" s="17">
        <v>1820972.456896552</v>
      </c>
      <c r="M24" s="17">
        <v>1794085.2155172415</v>
      </c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36"/>
      <c r="CT24" s="6"/>
      <c r="CU24" s="6"/>
      <c r="CV24" s="6"/>
      <c r="CW24" s="6"/>
      <c r="CX24" s="36"/>
    </row>
    <row x14ac:dyDescent="0.25" r="25" customHeight="1" ht="18">
      <c r="A25" s="15">
        <v>45368.395833333336</v>
      </c>
      <c r="B25" s="12">
        <v>25770</v>
      </c>
      <c r="C25" s="12">
        <v>21152</v>
      </c>
      <c r="D25" s="12">
        <v>20749</v>
      </c>
      <c r="E25" s="12">
        <v>419</v>
      </c>
      <c r="F25" s="12">
        <v>410</v>
      </c>
      <c r="G25" s="12">
        <v>435</v>
      </c>
      <c r="H25" s="16">
        <f>AVERAGE(E25:G25)*1000/49350</f>
      </c>
      <c r="I25" s="6" t="s">
        <v>53</v>
      </c>
      <c r="J25" s="12">
        <v>1</v>
      </c>
      <c r="K25" s="17">
        <v>3018392.8006329113</v>
      </c>
      <c r="L25" s="17">
        <v>2477494.9367088606</v>
      </c>
      <c r="M25" s="17">
        <v>2430292.286392405</v>
      </c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</row>
    <row x14ac:dyDescent="0.25" r="26" customHeight="1" ht="18">
      <c r="A26" s="15">
        <v>45369.395833333336</v>
      </c>
      <c r="B26" s="12">
        <v>11273</v>
      </c>
      <c r="C26" s="12">
        <v>9310</v>
      </c>
      <c r="D26" s="12">
        <v>8490</v>
      </c>
      <c r="E26" s="12">
        <v>2384</v>
      </c>
      <c r="F26" s="12">
        <v>2445</v>
      </c>
      <c r="G26" s="12">
        <v>2453</v>
      </c>
      <c r="H26" s="16">
        <f>AVERAGE(E26:G26)*1000/49350</f>
      </c>
      <c r="I26" s="6" t="s">
        <v>12</v>
      </c>
      <c r="J26" s="12">
        <v>20</v>
      </c>
      <c r="K26" s="17">
        <v>4583816.671244164</v>
      </c>
      <c r="L26" s="17">
        <v>3785623.455094754</v>
      </c>
      <c r="M26" s="17">
        <v>3452195.8253227132</v>
      </c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</row>
    <row x14ac:dyDescent="0.25" r="27" customHeight="1" ht="18">
      <c r="A27" s="15">
        <v>45370.395833333336</v>
      </c>
      <c r="B27" s="12">
        <v>12999</v>
      </c>
      <c r="C27" s="12">
        <v>11663</v>
      </c>
      <c r="D27" s="12">
        <v>12235</v>
      </c>
      <c r="E27" s="12">
        <v>2514</v>
      </c>
      <c r="F27" s="12">
        <v>2431</v>
      </c>
      <c r="G27" s="12">
        <v>2517</v>
      </c>
      <c r="H27" s="16">
        <f>AVERAGE(E27:G27)*1000/49350</f>
      </c>
      <c r="I27" s="6" t="s">
        <v>12</v>
      </c>
      <c r="J27" s="12">
        <v>20</v>
      </c>
      <c r="K27" s="17">
        <v>5158139.774859287</v>
      </c>
      <c r="L27" s="17">
        <v>4628000.938086303</v>
      </c>
      <c r="M27" s="17">
        <v>4854976.547842401</v>
      </c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</row>
    <row x14ac:dyDescent="0.25" r="28" customHeight="1" ht="18">
      <c r="A28" s="15">
        <v>45371.395833333336</v>
      </c>
      <c r="B28" s="12">
        <v>11165</v>
      </c>
      <c r="C28" s="12">
        <v>9758</v>
      </c>
      <c r="D28" s="12">
        <v>9201</v>
      </c>
      <c r="E28" s="12">
        <v>2506</v>
      </c>
      <c r="F28" s="12">
        <v>2532</v>
      </c>
      <c r="G28" s="12">
        <v>2476</v>
      </c>
      <c r="H28" s="16">
        <f>AVERAGE(E28:G28)*1000/49350</f>
      </c>
      <c r="I28" s="6" t="s">
        <v>12</v>
      </c>
      <c r="J28" s="12">
        <v>50</v>
      </c>
      <c r="K28" s="17">
        <v>10999322.93052968</v>
      </c>
      <c r="L28" s="17">
        <v>9613201.357466064</v>
      </c>
      <c r="M28" s="17">
        <v>9064466.662230505</v>
      </c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</row>
    <row x14ac:dyDescent="0.25" r="29" customHeight="1" ht="18">
      <c r="A29" s="15">
        <v>45372.395833333336</v>
      </c>
      <c r="B29" s="12">
        <v>21788</v>
      </c>
      <c r="C29" s="12">
        <v>18107</v>
      </c>
      <c r="D29" s="12">
        <v>13873</v>
      </c>
      <c r="E29" s="12">
        <v>2056</v>
      </c>
      <c r="F29" s="12">
        <v>2163</v>
      </c>
      <c r="G29" s="12">
        <v>2163</v>
      </c>
      <c r="H29" s="16">
        <f>AVERAGE(E29:G29)*1000/49350</f>
      </c>
      <c r="I29" s="6" t="s">
        <v>12</v>
      </c>
      <c r="J29" s="12">
        <v>50</v>
      </c>
      <c r="K29" s="17">
        <v>25271963.334377937</v>
      </c>
      <c r="L29" s="17">
        <v>21002360.93701034</v>
      </c>
      <c r="M29" s="17">
        <v>16091332.262613598</v>
      </c>
      <c r="N29" s="7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</row>
    <row x14ac:dyDescent="0.25" r="30" customHeight="1" ht="18">
      <c r="A30" s="15">
        <v>45373.395833333336</v>
      </c>
      <c r="B30" s="12">
        <v>18345</v>
      </c>
      <c r="C30" s="12">
        <v>19871</v>
      </c>
      <c r="D30" s="12">
        <v>13800</v>
      </c>
      <c r="E30" s="12">
        <v>2414</v>
      </c>
      <c r="F30" s="12">
        <v>2444</v>
      </c>
      <c r="G30" s="12">
        <v>2508</v>
      </c>
      <c r="H30" s="16">
        <f>AVERAGE(E30:G30)*1000/49350</f>
      </c>
      <c r="I30" s="6" t="s">
        <v>12</v>
      </c>
      <c r="J30" s="12">
        <v>75</v>
      </c>
      <c r="K30" s="17">
        <v>27653854.704045616</v>
      </c>
      <c r="L30" s="17">
        <v>29954197.155851208</v>
      </c>
      <c r="M30" s="17">
        <v>20802572.631007332</v>
      </c>
      <c r="N30" s="7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</row>
    <row x14ac:dyDescent="0.25" r="31" customHeight="1" ht="18">
      <c r="A31" s="15">
        <v>45376.395833333336</v>
      </c>
      <c r="B31" s="12">
        <v>19017</v>
      </c>
      <c r="C31" s="12">
        <v>23680</v>
      </c>
      <c r="D31" s="12">
        <v>12761</v>
      </c>
      <c r="E31" s="12">
        <v>2456</v>
      </c>
      <c r="F31" s="12">
        <v>2475</v>
      </c>
      <c r="G31" s="12">
        <v>2430</v>
      </c>
      <c r="H31" s="16">
        <f>AVERAGE(E31:G31)*1000/49350</f>
      </c>
      <c r="I31" s="6" t="s">
        <v>12</v>
      </c>
      <c r="J31" s="12">
        <v>150</v>
      </c>
      <c r="K31" s="17">
        <v>57372643.32291809</v>
      </c>
      <c r="L31" s="17">
        <v>71440510.80016303</v>
      </c>
      <c r="M31" s="17">
        <v>38498832.6993615</v>
      </c>
      <c r="N31" s="7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</row>
    <row x14ac:dyDescent="0.25" r="32" customHeight="1" ht="18">
      <c r="A32" s="19">
        <v>45376.75</v>
      </c>
      <c r="B32" s="12">
        <v>21726</v>
      </c>
      <c r="C32" s="12">
        <v>19494</v>
      </c>
      <c r="D32" s="12">
        <v>31210</v>
      </c>
      <c r="E32" s="12">
        <v>2456</v>
      </c>
      <c r="F32" s="12">
        <v>2475</v>
      </c>
      <c r="G32" s="12">
        <v>2430</v>
      </c>
      <c r="H32" s="16">
        <f>AVERAGE(E32:G32)*1000/49350</f>
      </c>
      <c r="I32" s="6" t="s">
        <v>12</v>
      </c>
      <c r="J32" s="12">
        <v>2</v>
      </c>
      <c r="K32" s="17">
        <v>873939.4919168592</v>
      </c>
      <c r="L32" s="17">
        <v>784156.1472626003</v>
      </c>
      <c r="M32" s="17">
        <v>1255438.2556717838</v>
      </c>
      <c r="N32" s="7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</row>
    <row x14ac:dyDescent="0.25" r="33" customHeight="1" ht="18">
      <c r="A33" s="15">
        <v>45377.416666666664</v>
      </c>
      <c r="B33" s="12">
        <v>19210</v>
      </c>
      <c r="C33" s="12">
        <v>16727</v>
      </c>
      <c r="D33" s="12">
        <v>28660</v>
      </c>
      <c r="E33" s="12">
        <v>2452</v>
      </c>
      <c r="F33" s="12">
        <v>2438</v>
      </c>
      <c r="G33" s="12">
        <v>2349</v>
      </c>
      <c r="H33" s="16">
        <f>AVERAGE(E33:G33)*1000/49350</f>
      </c>
      <c r="I33" s="6" t="s">
        <v>12</v>
      </c>
      <c r="J33" s="12">
        <v>3</v>
      </c>
      <c r="K33" s="17">
        <v>1178632.6150020722</v>
      </c>
      <c r="L33" s="17">
        <v>1026287.7538334024</v>
      </c>
      <c r="M33" s="17">
        <v>1758438.8727724825</v>
      </c>
      <c r="N33" s="7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</row>
    <row x14ac:dyDescent="0.25" r="34" customHeight="1" ht="18">
      <c r="A34" s="15">
        <v>45378.416666666664</v>
      </c>
      <c r="B34" s="12">
        <v>7242</v>
      </c>
      <c r="C34" s="12">
        <v>6410</v>
      </c>
      <c r="D34" s="12">
        <v>10357</v>
      </c>
      <c r="E34" s="12">
        <v>2590</v>
      </c>
      <c r="F34" s="12">
        <v>2598</v>
      </c>
      <c r="G34" s="12">
        <v>2611</v>
      </c>
      <c r="H34" s="16">
        <f>AVERAGE(E34:G34)*1000/49350</f>
      </c>
      <c r="I34" s="6" t="s">
        <v>12</v>
      </c>
      <c r="J34" s="12">
        <v>15</v>
      </c>
      <c r="K34" s="17">
        <v>2062145.3391460446</v>
      </c>
      <c r="L34" s="17">
        <v>1825234.966021285</v>
      </c>
      <c r="M34" s="17">
        <v>2949135.4981407877</v>
      </c>
      <c r="N34" s="7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</row>
    <row x14ac:dyDescent="0.25" r="35" customHeight="1" ht="18">
      <c r="A35" s="15">
        <v>45379.416666666664</v>
      </c>
      <c r="B35" s="12">
        <v>12975</v>
      </c>
      <c r="C35" s="12">
        <v>9075</v>
      </c>
      <c r="D35" s="12">
        <v>19084</v>
      </c>
      <c r="E35" s="12">
        <v>2404</v>
      </c>
      <c r="F35" s="12">
        <v>2371</v>
      </c>
      <c r="G35" s="12">
        <v>2397</v>
      </c>
      <c r="H35" s="16">
        <f>AVERAGE(E35:G35)*1000/49350</f>
      </c>
      <c r="I35" s="6" t="s">
        <v>12</v>
      </c>
      <c r="J35" s="12">
        <v>15</v>
      </c>
      <c r="K35" s="17">
        <v>4017600.5646960405</v>
      </c>
      <c r="L35" s="17">
        <v>2809998.0828220863</v>
      </c>
      <c r="M35" s="17">
        <v>5909201.477969884</v>
      </c>
      <c r="N35" s="7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</row>
    <row x14ac:dyDescent="0.25" r="36" customHeight="1" ht="18">
      <c r="A36" s="15">
        <v>45380.416666666664</v>
      </c>
      <c r="B36" s="12">
        <v>20889</v>
      </c>
      <c r="C36" s="12">
        <v>14761</v>
      </c>
      <c r="D36" s="12">
        <v>23353</v>
      </c>
      <c r="E36" s="12">
        <v>2296</v>
      </c>
      <c r="F36" s="12">
        <v>2251</v>
      </c>
      <c r="G36" s="12">
        <v>2385</v>
      </c>
      <c r="H36" s="16">
        <f>AVERAGE(E36:G36)*1000/49350</f>
      </c>
      <c r="I36" s="6" t="s">
        <v>12</v>
      </c>
      <c r="J36" s="12">
        <v>15</v>
      </c>
      <c r="K36" s="17">
        <v>6692043.674264282</v>
      </c>
      <c r="L36" s="17">
        <v>4728864.79371033</v>
      </c>
      <c r="M36" s="17">
        <v>7481415.861223313</v>
      </c>
      <c r="N36" s="7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</row>
    <row x14ac:dyDescent="0.25" r="37" customHeight="1" ht="18">
      <c r="A37" s="15">
        <v>45384.416666666664</v>
      </c>
      <c r="B37" s="12">
        <v>13326</v>
      </c>
      <c r="C37" s="12">
        <v>10805</v>
      </c>
      <c r="D37" s="12">
        <v>18210</v>
      </c>
      <c r="E37" s="12">
        <v>2484</v>
      </c>
      <c r="F37" s="12">
        <v>2546</v>
      </c>
      <c r="G37" s="12">
        <v>2502</v>
      </c>
      <c r="H37" s="16">
        <f>AVERAGE(E37:G37)*1000/49350</f>
      </c>
      <c r="I37" s="6" t="s">
        <v>12</v>
      </c>
      <c r="J37" s="12">
        <v>100</v>
      </c>
      <c r="K37" s="17">
        <v>28460967.974610504</v>
      </c>
      <c r="L37" s="17">
        <v>23076749.134448934</v>
      </c>
      <c r="M37" s="17">
        <v>38891957.5879977</v>
      </c>
      <c r="N37" s="7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</row>
    <row x14ac:dyDescent="0.25" r="38" customHeight="1" ht="18">
      <c r="A38" s="15">
        <v>45385.416666666664</v>
      </c>
      <c r="B38" s="12">
        <v>15639</v>
      </c>
      <c r="C38" s="12">
        <v>10727</v>
      </c>
      <c r="D38" s="12">
        <v>18662</v>
      </c>
      <c r="E38" s="12">
        <v>2465</v>
      </c>
      <c r="F38" s="12">
        <v>2489</v>
      </c>
      <c r="G38" s="12">
        <v>2469</v>
      </c>
      <c r="H38" s="16">
        <f>AVERAGE(E38:G38)*1000/49350</f>
      </c>
      <c r="I38" s="6" t="s">
        <v>12</v>
      </c>
      <c r="J38" s="12">
        <v>100</v>
      </c>
      <c r="K38" s="17">
        <v>30740227.69516729</v>
      </c>
      <c r="L38" s="17">
        <v>21085134.758364312</v>
      </c>
      <c r="M38" s="17">
        <v>36682276.95167287</v>
      </c>
      <c r="N38" s="7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</row>
    <row x14ac:dyDescent="0.25" r="39" customHeight="1" ht="18">
      <c r="A39" s="15">
        <v>45385.666666666664</v>
      </c>
      <c r="B39" s="12">
        <v>38874</v>
      </c>
      <c r="C39" s="12">
        <v>47516</v>
      </c>
      <c r="D39" s="12">
        <v>41732</v>
      </c>
      <c r="E39" s="12">
        <v>2465</v>
      </c>
      <c r="F39" s="12">
        <v>2489</v>
      </c>
      <c r="G39" s="12">
        <v>2469</v>
      </c>
      <c r="H39" s="16">
        <f>AVERAGE(E39:G39)*1000/49350</f>
      </c>
      <c r="I39" s="6" t="s">
        <v>12</v>
      </c>
      <c r="J39" s="12">
        <v>2</v>
      </c>
      <c r="K39" s="17">
        <v>1550665.6877273337</v>
      </c>
      <c r="L39" s="17">
        <v>1895391.0278862992</v>
      </c>
      <c r="M39" s="17">
        <v>1664669.9717095513</v>
      </c>
      <c r="N39" s="7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</row>
    <row x14ac:dyDescent="0.25" r="40" customHeight="1" ht="18">
      <c r="A40" s="15">
        <v>45386.416666666664</v>
      </c>
      <c r="B40" s="12">
        <v>18063</v>
      </c>
      <c r="C40" s="12">
        <v>21975</v>
      </c>
      <c r="D40" s="12">
        <v>18718</v>
      </c>
      <c r="E40" s="12">
        <v>2485</v>
      </c>
      <c r="F40" s="12">
        <v>2609</v>
      </c>
      <c r="G40" s="12">
        <v>2573</v>
      </c>
      <c r="H40" s="16">
        <f>AVERAGE(E40:G40)*1000/49350</f>
      </c>
      <c r="I40" s="6" t="s">
        <v>12</v>
      </c>
      <c r="J40" s="12">
        <v>5</v>
      </c>
      <c r="K40" s="17">
        <v>1801311.5654048226</v>
      </c>
      <c r="L40" s="17">
        <v>2191431.1935874983</v>
      </c>
      <c r="M40" s="17">
        <v>1866630.6749292738</v>
      </c>
      <c r="N40" s="7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</row>
    <row x14ac:dyDescent="0.25" r="41" customHeight="1" ht="18">
      <c r="A41" s="15">
        <v>45387.416666666664</v>
      </c>
      <c r="B41" s="12">
        <v>9484</v>
      </c>
      <c r="C41" s="12">
        <v>11902</v>
      </c>
      <c r="D41" s="12">
        <v>10907</v>
      </c>
      <c r="E41" s="12">
        <v>2367</v>
      </c>
      <c r="F41" s="12">
        <v>2336</v>
      </c>
      <c r="G41" s="12">
        <v>2224</v>
      </c>
      <c r="H41" s="16">
        <f>AVERAGE(E41:G41)*1000/49350</f>
      </c>
      <c r="I41" s="6" t="s">
        <v>12</v>
      </c>
      <c r="J41" s="12">
        <v>15</v>
      </c>
      <c r="K41" s="17">
        <v>2747044.867614452</v>
      </c>
      <c r="L41" s="17">
        <v>3447419.6556671453</v>
      </c>
      <c r="M41" s="17">
        <v>3159217.4579366115</v>
      </c>
      <c r="N41" s="7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</row>
    <row x14ac:dyDescent="0.25" r="42" customHeight="1" ht="18">
      <c r="A42" s="15">
        <v>45390.5</v>
      </c>
      <c r="B42" s="12">
        <v>8361</v>
      </c>
      <c r="C42" s="12">
        <v>8476</v>
      </c>
      <c r="D42" s="12">
        <v>7581</v>
      </c>
      <c r="E42" s="12">
        <v>2506</v>
      </c>
      <c r="F42" s="12">
        <v>2540</v>
      </c>
      <c r="G42" s="12">
        <v>2498</v>
      </c>
      <c r="H42" s="16">
        <f>AVERAGE(E42:G42)*1000/49350</f>
      </c>
      <c r="I42" s="6" t="s">
        <v>12</v>
      </c>
      <c r="J42" s="12">
        <v>50</v>
      </c>
      <c r="K42" s="17">
        <v>8934936.119532265</v>
      </c>
      <c r="L42" s="17">
        <v>9057830.229536595</v>
      </c>
      <c r="M42" s="17">
        <v>8101393.460372455</v>
      </c>
      <c r="N42" s="7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x14ac:dyDescent="0.25" r="43" customHeight="1" ht="18">
      <c r="A43" s="15">
        <v>45391.416666666664</v>
      </c>
      <c r="B43" s="12">
        <v>6613</v>
      </c>
      <c r="C43" s="12">
        <v>11726</v>
      </c>
      <c r="D43" s="12">
        <v>9264</v>
      </c>
      <c r="E43" s="12">
        <v>2548</v>
      </c>
      <c r="F43" s="12">
        <v>2639</v>
      </c>
      <c r="G43" s="12">
        <v>2480</v>
      </c>
      <c r="H43" s="16">
        <f>AVERAGE(E43:G43)*1000/49350</f>
      </c>
      <c r="I43" s="6" t="s">
        <v>12</v>
      </c>
      <c r="J43" s="12">
        <v>100</v>
      </c>
      <c r="K43" s="17">
        <v>12977924.840933193</v>
      </c>
      <c r="L43" s="17">
        <v>23012119.565217394</v>
      </c>
      <c r="M43" s="17">
        <v>18180477.20042418</v>
      </c>
      <c r="N43" s="7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</row>
    <row x14ac:dyDescent="0.25" r="44" customHeight="1" ht="18">
      <c r="A44" s="15">
        <v>45392.583333333336</v>
      </c>
      <c r="B44" s="12">
        <v>33406</v>
      </c>
      <c r="C44" s="12">
        <v>33370</v>
      </c>
      <c r="D44" s="12">
        <v>29696</v>
      </c>
      <c r="E44" s="12">
        <v>2465</v>
      </c>
      <c r="F44" s="12">
        <v>2631</v>
      </c>
      <c r="G44" s="12">
        <v>2504</v>
      </c>
      <c r="H44" s="16">
        <f>AVERAGE(E44:G44)*1000/49350</f>
      </c>
      <c r="I44" s="6" t="s">
        <v>12</v>
      </c>
      <c r="J44" s="12">
        <v>100</v>
      </c>
      <c r="K44" s="17">
        <v>64507086.21364289</v>
      </c>
      <c r="L44" s="17">
        <v>64437570.10564759</v>
      </c>
      <c r="M44" s="17">
        <v>57343065.08412678</v>
      </c>
      <c r="N44" s="7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</row>
    <row x14ac:dyDescent="0.25" r="45" customHeight="1" ht="18">
      <c r="A45" s="15">
        <v>45393.416666666664</v>
      </c>
      <c r="B45" s="12">
        <v>13642</v>
      </c>
      <c r="C45" s="12">
        <v>24580</v>
      </c>
      <c r="D45" s="12">
        <v>19224</v>
      </c>
      <c r="E45" s="12">
        <v>2594</v>
      </c>
      <c r="F45" s="12">
        <v>2493</v>
      </c>
      <c r="G45" s="12">
        <v>2595</v>
      </c>
      <c r="H45" s="16">
        <f>AVERAGE(E45:G45)*1000/49350</f>
      </c>
      <c r="I45" s="6" t="s">
        <v>12</v>
      </c>
      <c r="J45" s="12">
        <v>100</v>
      </c>
      <c r="K45" s="17">
        <v>26574975</v>
      </c>
      <c r="L45" s="17">
        <v>47882486.84210526</v>
      </c>
      <c r="M45" s="17">
        <v>37448857.89473684</v>
      </c>
      <c r="N45" s="7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</row>
    <row x14ac:dyDescent="0.25" r="46" customHeight="1" ht="18">
      <c r="A46" s="15">
        <v>45394.416666666664</v>
      </c>
      <c r="B46" s="12">
        <v>28019</v>
      </c>
      <c r="C46" s="12">
        <v>23520</v>
      </c>
      <c r="D46" s="12">
        <v>34690</v>
      </c>
      <c r="E46" s="12">
        <v>2480</v>
      </c>
      <c r="F46" s="12">
        <v>2453</v>
      </c>
      <c r="G46" s="12">
        <v>2450</v>
      </c>
      <c r="H46" s="16">
        <f>AVERAGE(E46:G46)*1000/49350</f>
      </c>
      <c r="I46" s="6" t="s">
        <v>12</v>
      </c>
      <c r="J46" s="12">
        <v>100</v>
      </c>
      <c r="K46" s="17">
        <v>56186007.720438845</v>
      </c>
      <c r="L46" s="17">
        <v>47164242.17797643</v>
      </c>
      <c r="M46" s="17">
        <v>69563246.64770418</v>
      </c>
      <c r="N46" s="7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</row>
    <row x14ac:dyDescent="0.25" r="47" customHeight="1" ht="18">
      <c r="A47" s="15">
        <v>45397.416666666664</v>
      </c>
      <c r="B47" s="12">
        <v>34035</v>
      </c>
      <c r="C47" s="12">
        <v>40459</v>
      </c>
      <c r="D47" s="12">
        <v>34988</v>
      </c>
      <c r="E47" s="12">
        <v>2444</v>
      </c>
      <c r="F47" s="12">
        <v>2483</v>
      </c>
      <c r="G47" s="12">
        <v>2483</v>
      </c>
      <c r="H47" s="16">
        <f>AVERAGE(E47:G47)*1000/49350</f>
      </c>
      <c r="I47" s="6" t="s">
        <v>12</v>
      </c>
      <c r="J47" s="12">
        <v>100</v>
      </c>
      <c r="K47" s="17">
        <v>68001103.2388664</v>
      </c>
      <c r="L47" s="17">
        <v>80836099.1902834</v>
      </c>
      <c r="M47" s="17">
        <v>69905174.08906883</v>
      </c>
      <c r="N47" s="7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</row>
    <row x14ac:dyDescent="0.25" r="48" customHeight="1" ht="18">
      <c r="A48" s="15">
        <v>45398.416666666664</v>
      </c>
      <c r="B48" s="12">
        <v>18879</v>
      </c>
      <c r="C48" s="12">
        <v>21116</v>
      </c>
      <c r="D48" s="12">
        <v>21640</v>
      </c>
      <c r="E48" s="12">
        <v>2507</v>
      </c>
      <c r="F48" s="12">
        <v>2499</v>
      </c>
      <c r="G48" s="12">
        <v>2561</v>
      </c>
      <c r="H48" s="16">
        <f>AVERAGE(E48:G48)*1000/49350</f>
      </c>
      <c r="I48" s="6" t="s">
        <v>12</v>
      </c>
      <c r="J48" s="12">
        <v>150</v>
      </c>
      <c r="K48" s="17">
        <v>55405760.86956521</v>
      </c>
      <c r="L48" s="17">
        <v>61970869.56521739</v>
      </c>
      <c r="M48" s="17">
        <v>63508695.65217391</v>
      </c>
      <c r="N48" s="7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</row>
    <row x14ac:dyDescent="0.25" r="49" customHeight="1" ht="18">
      <c r="A49" s="15">
        <v>45398.625</v>
      </c>
      <c r="B49" s="12">
        <v>31399</v>
      </c>
      <c r="C49" s="12">
        <v>27962</v>
      </c>
      <c r="D49" s="12">
        <v>26607</v>
      </c>
      <c r="E49" s="12">
        <v>2507</v>
      </c>
      <c r="F49" s="12">
        <v>2499</v>
      </c>
      <c r="G49" s="12">
        <v>2561</v>
      </c>
      <c r="H49" s="16">
        <f>AVERAGE(E49:G49)*1000/49350</f>
      </c>
      <c r="I49" s="6" t="s">
        <v>12</v>
      </c>
      <c r="J49" s="12">
        <v>2</v>
      </c>
      <c r="K49" s="17">
        <v>1228656.5217391304</v>
      </c>
      <c r="L49" s="17">
        <v>1094165.2173913042</v>
      </c>
      <c r="M49" s="17">
        <v>1041143.4782608695</v>
      </c>
      <c r="N49" s="7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x14ac:dyDescent="0.25" r="50" customHeight="1" ht="18">
      <c r="A50" s="15">
        <v>45399.416666666664</v>
      </c>
      <c r="B50" s="12">
        <v>14338</v>
      </c>
      <c r="C50" s="12">
        <v>13184</v>
      </c>
      <c r="D50" s="12">
        <v>13612</v>
      </c>
      <c r="E50" s="12">
        <v>2568</v>
      </c>
      <c r="F50" s="12">
        <v>2595</v>
      </c>
      <c r="G50" s="12">
        <v>2645</v>
      </c>
      <c r="H50" s="16">
        <f>AVERAGE(E50:G50)*1000/49350</f>
      </c>
      <c r="I50" s="6" t="s">
        <v>12</v>
      </c>
      <c r="J50" s="12">
        <v>5</v>
      </c>
      <c r="K50" s="17">
        <v>1359337.1542008198</v>
      </c>
      <c r="L50" s="17">
        <v>1249930.3278688525</v>
      </c>
      <c r="M50" s="17">
        <v>1290507.5563524591</v>
      </c>
      <c r="N50" s="7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</row>
    <row x14ac:dyDescent="0.25" r="51" customHeight="1" ht="18">
      <c r="A51" s="15">
        <v>45400.416666666664</v>
      </c>
      <c r="B51" s="12">
        <v>7075</v>
      </c>
      <c r="C51" s="12">
        <v>6046</v>
      </c>
      <c r="D51" s="12">
        <v>6799</v>
      </c>
      <c r="E51" s="12">
        <v>2330</v>
      </c>
      <c r="F51" s="12">
        <v>2438</v>
      </c>
      <c r="G51" s="12">
        <v>2470</v>
      </c>
      <c r="H51" s="16">
        <f>AVERAGE(E51:G51)*1000/49350</f>
      </c>
      <c r="I51" s="6" t="s">
        <v>12</v>
      </c>
      <c r="J51" s="12">
        <v>15</v>
      </c>
      <c r="K51" s="17">
        <v>2170738.6363636367</v>
      </c>
      <c r="L51" s="17">
        <v>1855022.7272727273</v>
      </c>
      <c r="M51" s="17">
        <v>2086056.8181818184</v>
      </c>
      <c r="N51" s="7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</row>
    <row x14ac:dyDescent="0.25" r="52" customHeight="1" ht="18">
      <c r="A52" s="15">
        <v>45401.416666666664</v>
      </c>
      <c r="B52" s="12">
        <v>12907</v>
      </c>
      <c r="C52" s="12">
        <v>10964</v>
      </c>
      <c r="D52" s="12">
        <v>12044</v>
      </c>
      <c r="E52" s="12">
        <v>2601</v>
      </c>
      <c r="F52" s="12">
        <v>2463</v>
      </c>
      <c r="G52" s="12">
        <v>2541</v>
      </c>
      <c r="H52" s="16">
        <f>AVERAGE(E52:G52)*1000/49350</f>
      </c>
      <c r="I52" s="6" t="s">
        <v>12</v>
      </c>
      <c r="J52" s="12">
        <v>15</v>
      </c>
      <c r="K52" s="17">
        <v>3768996.7455621306</v>
      </c>
      <c r="L52" s="17">
        <v>3201617.75147929</v>
      </c>
      <c r="M52" s="17">
        <v>3516990.532544379</v>
      </c>
      <c r="N52" s="7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</row>
    <row x14ac:dyDescent="0.25" r="53" customHeight="1" ht="18">
      <c r="A53" s="15">
        <v>45404.416666666664</v>
      </c>
      <c r="B53" s="12">
        <v>6524</v>
      </c>
      <c r="C53" s="12">
        <v>6103</v>
      </c>
      <c r="D53" s="12">
        <v>7015</v>
      </c>
      <c r="E53" s="12">
        <v>2547</v>
      </c>
      <c r="F53" s="12">
        <v>2559</v>
      </c>
      <c r="G53" s="12">
        <v>2540</v>
      </c>
      <c r="H53" s="16">
        <f>AVERAGE(E53:G53)*1000/49350</f>
      </c>
      <c r="I53" s="6" t="s">
        <v>12</v>
      </c>
      <c r="J53" s="12">
        <v>100</v>
      </c>
      <c r="K53" s="17">
        <v>12632464.033481559</v>
      </c>
      <c r="L53" s="17">
        <v>11817278.969395762</v>
      </c>
      <c r="M53" s="17">
        <v>13583190.557154067</v>
      </c>
      <c r="N53" s="7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</row>
    <row x14ac:dyDescent="0.25" r="54" customHeight="1" ht="18">
      <c r="A54" s="15">
        <v>45405.416666666664</v>
      </c>
      <c r="B54" s="12">
        <v>8652</v>
      </c>
      <c r="C54" s="12">
        <v>9268</v>
      </c>
      <c r="D54" s="12">
        <v>6339</v>
      </c>
      <c r="E54" s="12">
        <v>2494</v>
      </c>
      <c r="F54" s="12">
        <v>2590</v>
      </c>
      <c r="G54" s="12">
        <v>2532</v>
      </c>
      <c r="H54" s="16">
        <f>AVERAGE(E54:G54)*1000/49350</f>
      </c>
      <c r="I54" s="6" t="s">
        <v>12</v>
      </c>
      <c r="J54" s="12">
        <v>100</v>
      </c>
      <c r="K54" s="17">
        <v>16818915.44117647</v>
      </c>
      <c r="L54" s="17">
        <v>18016378.67647059</v>
      </c>
      <c r="M54" s="17">
        <v>12322596.507352943</v>
      </c>
      <c r="N54" s="7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</row>
    <row x14ac:dyDescent="0.25" r="55" customHeight="1" ht="18">
      <c r="A55" s="15">
        <v>45406.416666666664</v>
      </c>
      <c r="B55" s="12">
        <v>14701</v>
      </c>
      <c r="C55" s="12">
        <v>13515</v>
      </c>
      <c r="D55" s="12">
        <v>13347</v>
      </c>
      <c r="E55" s="12">
        <v>2663</v>
      </c>
      <c r="F55" s="12">
        <v>2506</v>
      </c>
      <c r="G55" s="12">
        <v>2654</v>
      </c>
      <c r="H55" s="16">
        <f>AVERAGE(E55:G55)*1000/49350</f>
      </c>
      <c r="I55" s="6" t="s">
        <v>12</v>
      </c>
      <c r="J55" s="12">
        <v>100</v>
      </c>
      <c r="K55" s="17">
        <v>27821590.821935322</v>
      </c>
      <c r="L55" s="17">
        <v>25577089.991052028</v>
      </c>
      <c r="M55" s="17">
        <v>25259150.581618305</v>
      </c>
      <c r="N55" s="7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</row>
    <row x14ac:dyDescent="0.25" r="56" customHeight="1" ht="18">
      <c r="A56" s="15">
        <v>45407.416666666664</v>
      </c>
      <c r="B56" s="12">
        <v>13319</v>
      </c>
      <c r="C56" s="12">
        <v>14945</v>
      </c>
      <c r="D56" s="12">
        <v>12435</v>
      </c>
      <c r="E56" s="12">
        <v>2579</v>
      </c>
      <c r="F56" s="12">
        <v>2594</v>
      </c>
      <c r="G56" s="12">
        <v>2617</v>
      </c>
      <c r="H56" s="16">
        <f>AVERAGE(E56:G56)*1000/49350</f>
      </c>
      <c r="I56" s="6" t="s">
        <v>12</v>
      </c>
      <c r="J56" s="12">
        <v>100</v>
      </c>
      <c r="K56" s="17">
        <v>25312939.024390247</v>
      </c>
      <c r="L56" s="17">
        <v>28403173.940949935</v>
      </c>
      <c r="M56" s="17">
        <v>23632885.10911425</v>
      </c>
      <c r="N56" s="7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</row>
    <row x14ac:dyDescent="0.25" r="57" customHeight="1" ht="18">
      <c r="A57" s="15">
        <v>45408.416666666664</v>
      </c>
      <c r="B57" s="12">
        <v>19762</v>
      </c>
      <c r="C57" s="12">
        <v>23742</v>
      </c>
      <c r="D57" s="12">
        <v>21096</v>
      </c>
      <c r="E57" s="12">
        <v>2640</v>
      </c>
      <c r="F57" s="12">
        <v>2555</v>
      </c>
      <c r="G57" s="12">
        <v>2551</v>
      </c>
      <c r="H57" s="16">
        <f>AVERAGE(E57:G57)*1000/49350</f>
      </c>
      <c r="I57" s="6" t="s">
        <v>12</v>
      </c>
      <c r="J57" s="12">
        <v>100</v>
      </c>
      <c r="K57" s="17">
        <v>37771289.697908595</v>
      </c>
      <c r="L57" s="17">
        <v>45378299.767622</v>
      </c>
      <c r="M57" s="17">
        <v>40320975.9876065</v>
      </c>
      <c r="N57" s="7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</row>
    <row x14ac:dyDescent="0.25" r="58" customHeight="1" ht="18">
      <c r="A58" s="15"/>
      <c r="B58" s="7"/>
      <c r="C58" s="7"/>
      <c r="D58" s="7"/>
      <c r="E58" s="7"/>
      <c r="F58" s="7"/>
      <c r="G58" s="7"/>
      <c r="H58" s="13"/>
      <c r="I58" s="6"/>
      <c r="J58" s="7"/>
      <c r="K58" s="17"/>
      <c r="L58" s="17"/>
      <c r="M58" s="17"/>
      <c r="N58" s="7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x14ac:dyDescent="0.25" r="59" customHeight="1" ht="18">
      <c r="A59" s="15"/>
      <c r="B59" s="7"/>
      <c r="C59" s="7"/>
      <c r="D59" s="7"/>
      <c r="E59" s="7"/>
      <c r="F59" s="7"/>
      <c r="G59" s="7"/>
      <c r="H59" s="13"/>
      <c r="I59" s="6"/>
      <c r="J59" s="7"/>
      <c r="K59" s="17"/>
      <c r="L59" s="17"/>
      <c r="M59" s="17"/>
      <c r="N59" s="7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</sheetData>
  <mergeCells count="3">
    <mergeCell ref="A1:Q1"/>
    <mergeCell ref="B2:D2"/>
    <mergeCell ref="E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0"/>
  <sheetViews>
    <sheetView workbookViewId="0"/>
  </sheetViews>
  <sheetFormatPr defaultRowHeight="15" x14ac:dyDescent="0.25"/>
  <cols>
    <col min="1" max="1" style="21" width="18.576428571428572" customWidth="1" bestFit="1"/>
    <col min="2" max="2" style="42" width="13.005" customWidth="1" bestFit="1"/>
    <col min="3" max="3" style="42" width="13.005" customWidth="1" bestFit="1"/>
    <col min="4" max="4" style="42" width="13.005" customWidth="1" bestFit="1"/>
    <col min="5" max="5" style="42" width="13.005" customWidth="1" bestFit="1"/>
    <col min="6" max="6" style="42" width="13.005" customWidth="1" bestFit="1"/>
    <col min="7" max="7" style="42" width="13.005" customWidth="1" bestFit="1"/>
    <col min="8" max="8" style="43" width="13.005" customWidth="1" bestFit="1"/>
    <col min="9" max="9" style="23" width="13.005" customWidth="1" bestFit="1"/>
    <col min="10" max="10" style="44" width="13.005" customWidth="1" bestFit="1"/>
    <col min="11" max="11" style="45" width="13.005" customWidth="1" bestFit="1"/>
    <col min="12" max="12" style="45" width="13.005" customWidth="1" bestFit="1"/>
    <col min="13" max="13" style="45" width="13.005" customWidth="1" bestFit="1"/>
    <col min="14" max="14" style="20" width="13.005" customWidth="1" bestFit="1"/>
    <col min="15" max="15" style="23" width="13.005" customWidth="1" bestFit="1"/>
    <col min="16" max="16" style="23" width="13.005" customWidth="1" bestFit="1"/>
    <col min="17" max="17" style="23" width="13.005" customWidth="1" bestFit="1"/>
  </cols>
  <sheetData>
    <row x14ac:dyDescent="0.25" r="1" customHeight="1" ht="18">
      <c r="A1" s="2" t="s">
        <v>0</v>
      </c>
      <c r="B1" s="1"/>
      <c r="C1" s="1"/>
      <c r="D1" s="1"/>
      <c r="E1" s="1"/>
      <c r="F1" s="1"/>
      <c r="G1" s="1"/>
      <c r="H1" s="3"/>
      <c r="I1" s="4"/>
      <c r="J1" s="2"/>
      <c r="K1" s="5"/>
      <c r="L1" s="5"/>
      <c r="M1" s="5"/>
      <c r="N1" s="1"/>
      <c r="O1" s="4"/>
      <c r="P1" s="4"/>
      <c r="Q1" s="4"/>
    </row>
    <row x14ac:dyDescent="0.25" r="2" customHeight="1" ht="18">
      <c r="A2" s="8" t="s">
        <v>2</v>
      </c>
      <c r="B2" s="9" t="s">
        <v>3</v>
      </c>
      <c r="C2" s="9"/>
      <c r="D2" s="9"/>
      <c r="E2" s="9" t="s">
        <v>4</v>
      </c>
      <c r="F2" s="9"/>
      <c r="G2" s="9"/>
      <c r="H2" s="10"/>
      <c r="I2" s="6" t="s">
        <v>5</v>
      </c>
      <c r="J2" s="37" t="s">
        <v>6</v>
      </c>
      <c r="K2" s="38" t="s">
        <v>7</v>
      </c>
      <c r="L2" s="38"/>
      <c r="M2" s="38"/>
      <c r="N2" s="7" t="s">
        <v>18</v>
      </c>
      <c r="O2" s="6" t="s">
        <v>19</v>
      </c>
      <c r="P2" s="6"/>
      <c r="Q2" s="6"/>
    </row>
    <row x14ac:dyDescent="0.25" r="3" customHeight="1" ht="18">
      <c r="A3" s="8"/>
      <c r="B3" s="39" t="s">
        <v>8</v>
      </c>
      <c r="C3" s="39" t="s">
        <v>9</v>
      </c>
      <c r="D3" s="39" t="s">
        <v>10</v>
      </c>
      <c r="E3" s="12">
        <v>1</v>
      </c>
      <c r="F3" s="12">
        <v>2</v>
      </c>
      <c r="G3" s="12">
        <v>3</v>
      </c>
      <c r="H3" s="40" t="s">
        <v>11</v>
      </c>
      <c r="I3" s="6"/>
      <c r="J3" s="37"/>
      <c r="K3" s="38" t="s">
        <v>8</v>
      </c>
      <c r="L3" s="38" t="s">
        <v>9</v>
      </c>
      <c r="M3" s="38" t="s">
        <v>10</v>
      </c>
      <c r="N3" s="7"/>
      <c r="O3" s="6" t="s">
        <v>8</v>
      </c>
      <c r="P3" s="6" t="s">
        <v>9</v>
      </c>
      <c r="Q3" s="6" t="s">
        <v>10</v>
      </c>
    </row>
    <row x14ac:dyDescent="0.25" r="4" customHeight="1" ht="18">
      <c r="A4" s="15">
        <v>45341.625</v>
      </c>
      <c r="B4" s="12">
        <v>53440</v>
      </c>
      <c r="C4" s="12">
        <v>55259</v>
      </c>
      <c r="D4" s="12">
        <v>54718</v>
      </c>
      <c r="E4" s="12">
        <v>2227</v>
      </c>
      <c r="F4" s="12">
        <v>2388</v>
      </c>
      <c r="G4" s="12">
        <v>2329</v>
      </c>
      <c r="H4" s="16">
        <f>AVERAGE(E4:G4)*1000/47400</f>
      </c>
      <c r="I4" s="6" t="s">
        <v>12</v>
      </c>
      <c r="J4" s="30">
        <v>1</v>
      </c>
      <c r="K4" s="17">
        <v>1094350.2304147466</v>
      </c>
      <c r="L4" s="17">
        <v>1131599.9135944701</v>
      </c>
      <c r="M4" s="17">
        <v>1120521.2557603687</v>
      </c>
      <c r="N4" s="7"/>
      <c r="O4" s="6"/>
      <c r="P4" s="6"/>
      <c r="Q4" s="6"/>
    </row>
    <row x14ac:dyDescent="0.25" r="5" customHeight="1" ht="18">
      <c r="A5" s="15">
        <v>45342.395833333336</v>
      </c>
      <c r="B5" s="12">
        <v>39232</v>
      </c>
      <c r="C5" s="12">
        <v>42436</v>
      </c>
      <c r="D5" s="12">
        <v>42004</v>
      </c>
      <c r="E5" s="12">
        <v>1271</v>
      </c>
      <c r="F5" s="12">
        <v>1293</v>
      </c>
      <c r="G5" s="12">
        <v>1315</v>
      </c>
      <c r="H5" s="16">
        <f>AVERAGE(E5:G5)*1000/47400</f>
      </c>
      <c r="I5" s="6" t="s">
        <v>13</v>
      </c>
      <c r="J5" s="30">
        <v>1</v>
      </c>
      <c r="K5" s="17">
        <v>1438203.2482598608</v>
      </c>
      <c r="L5" s="17">
        <v>1555658.4686774942</v>
      </c>
      <c r="M5" s="17">
        <v>1539821.8097447795</v>
      </c>
      <c r="N5" s="7"/>
      <c r="O5" s="6"/>
      <c r="P5" s="6"/>
      <c r="Q5" s="6"/>
    </row>
    <row x14ac:dyDescent="0.25" r="6" customHeight="1" ht="18">
      <c r="A6" s="15">
        <v>45343.395833333336</v>
      </c>
      <c r="B6" s="12">
        <v>16891</v>
      </c>
      <c r="C6" s="12">
        <v>20621</v>
      </c>
      <c r="D6" s="12">
        <v>16431</v>
      </c>
      <c r="E6" s="12">
        <v>2458</v>
      </c>
      <c r="F6" s="12">
        <v>2448</v>
      </c>
      <c r="G6" s="12">
        <v>2527</v>
      </c>
      <c r="H6" s="16">
        <f>AVERAGE(E6:G6)*1000/47400</f>
      </c>
      <c r="I6" s="6" t="s">
        <v>12</v>
      </c>
      <c r="J6" s="30">
        <v>10</v>
      </c>
      <c r="K6" s="17">
        <v>2809373.066056774</v>
      </c>
      <c r="L6" s="17">
        <v>2797894.5244181356</v>
      </c>
      <c r="M6" s="17">
        <v>3087536.391766447</v>
      </c>
      <c r="N6" s="12">
        <v>1</v>
      </c>
      <c r="O6" s="6" t="s">
        <v>20</v>
      </c>
      <c r="P6" s="6" t="s">
        <v>21</v>
      </c>
      <c r="Q6" s="6" t="s">
        <v>22</v>
      </c>
    </row>
    <row x14ac:dyDescent="0.25" r="7" customHeight="1" ht="18">
      <c r="A7" s="15">
        <v>45344.395833333336</v>
      </c>
      <c r="B7" s="12">
        <v>31568</v>
      </c>
      <c r="C7" s="12">
        <v>33225</v>
      </c>
      <c r="D7" s="12">
        <v>34229</v>
      </c>
      <c r="E7" s="12">
        <v>2632</v>
      </c>
      <c r="F7" s="12">
        <v>2515</v>
      </c>
      <c r="G7" s="12">
        <v>2523</v>
      </c>
      <c r="H7" s="16">
        <f>AVERAGE(E7:G7)*1000/47400</f>
      </c>
      <c r="I7" s="6" t="s">
        <v>12</v>
      </c>
      <c r="J7" s="30">
        <v>10</v>
      </c>
      <c r="K7" s="17">
        <v>5508535.071707954</v>
      </c>
      <c r="L7" s="17">
        <v>5571755.671447197</v>
      </c>
      <c r="M7" s="17">
        <v>5519844.328552804</v>
      </c>
      <c r="N7" s="12">
        <v>1</v>
      </c>
      <c r="O7" s="6" t="s">
        <v>23</v>
      </c>
      <c r="P7" s="6" t="s">
        <v>24</v>
      </c>
      <c r="Q7" s="6" t="s">
        <v>25</v>
      </c>
    </row>
    <row x14ac:dyDescent="0.25" r="8" customHeight="1" ht="18">
      <c r="A8" s="15">
        <v>45345.395833333336</v>
      </c>
      <c r="B8" s="12">
        <v>34874</v>
      </c>
      <c r="C8" s="12">
        <v>33449</v>
      </c>
      <c r="D8" s="12">
        <v>39594</v>
      </c>
      <c r="E8" s="12">
        <v>2632</v>
      </c>
      <c r="F8" s="12">
        <v>2515</v>
      </c>
      <c r="G8" s="12">
        <v>2523</v>
      </c>
      <c r="H8" s="16">
        <f>AVERAGE(E8:G8)*1000/47400</f>
      </c>
      <c r="I8" s="6" t="s">
        <v>12</v>
      </c>
      <c r="J8" s="30">
        <v>20</v>
      </c>
      <c r="K8" s="17">
        <v>11625545.241199479</v>
      </c>
      <c r="L8" s="17">
        <v>12291493.611473273</v>
      </c>
      <c r="M8" s="17">
        <v>11601443.546284225</v>
      </c>
      <c r="N8" s="12">
        <v>11</v>
      </c>
      <c r="O8" s="6" t="s">
        <v>26</v>
      </c>
      <c r="P8" s="6" t="s">
        <v>27</v>
      </c>
      <c r="Q8" s="6" t="s">
        <v>28</v>
      </c>
    </row>
    <row x14ac:dyDescent="0.25" r="9" customHeight="1" ht="18">
      <c r="A9" s="15">
        <v>45348.395833333336</v>
      </c>
      <c r="B9" s="12">
        <v>26979</v>
      </c>
      <c r="C9" s="12">
        <v>18274</v>
      </c>
      <c r="D9" s="12">
        <v>19243</v>
      </c>
      <c r="E9" s="12">
        <v>2395</v>
      </c>
      <c r="F9" s="12">
        <v>2371</v>
      </c>
      <c r="G9" s="12">
        <v>2340</v>
      </c>
      <c r="H9" s="16">
        <f>AVERAGE(E9:G9)*1000/47400</f>
      </c>
      <c r="I9" s="6" t="s">
        <v>12</v>
      </c>
      <c r="J9" s="30">
        <v>50</v>
      </c>
      <c r="K9" s="17">
        <v>31545747.255840138</v>
      </c>
      <c r="L9" s="17">
        <v>40602842.66816775</v>
      </c>
      <c r="M9" s="17">
        <v>37026830.84717141</v>
      </c>
      <c r="N9" s="12">
        <v>11</v>
      </c>
      <c r="O9" s="6" t="s">
        <v>29</v>
      </c>
      <c r="P9" s="6" t="s">
        <v>30</v>
      </c>
      <c r="Q9" s="6" t="s">
        <v>31</v>
      </c>
    </row>
    <row x14ac:dyDescent="0.25" r="10" customHeight="1" ht="18">
      <c r="A10" s="15">
        <v>45349.395833333336</v>
      </c>
      <c r="B10" s="12">
        <v>17622</v>
      </c>
      <c r="C10" s="12">
        <v>17828</v>
      </c>
      <c r="D10" s="12">
        <v>20550</v>
      </c>
      <c r="E10" s="12">
        <v>2550</v>
      </c>
      <c r="F10" s="12">
        <v>2504</v>
      </c>
      <c r="G10" s="12">
        <v>2552</v>
      </c>
      <c r="H10" s="16">
        <f>AVERAGE(E10:G10)*1000/47400</f>
      </c>
      <c r="I10" s="6" t="s">
        <v>12</v>
      </c>
      <c r="J10" s="30">
        <v>150</v>
      </c>
      <c r="K10" s="17">
        <v>45464364.975019716</v>
      </c>
      <c r="L10" s="17">
        <v>40773597.16013673</v>
      </c>
      <c r="M10" s="17">
        <v>35017170.65474625</v>
      </c>
      <c r="N10" s="12">
        <v>2</v>
      </c>
      <c r="O10" s="6" t="s">
        <v>32</v>
      </c>
      <c r="P10" s="6" t="s">
        <v>33</v>
      </c>
      <c r="Q10" s="6" t="s">
        <v>34</v>
      </c>
    </row>
    <row x14ac:dyDescent="0.25" r="11" customHeight="1" ht="18">
      <c r="A11" s="15">
        <v>45350.395833333336</v>
      </c>
      <c r="B11" s="12">
        <v>23224</v>
      </c>
      <c r="C11" s="12">
        <v>22391</v>
      </c>
      <c r="D11" s="12">
        <v>22235</v>
      </c>
      <c r="E11" s="12">
        <v>2599</v>
      </c>
      <c r="F11" s="12">
        <v>2587</v>
      </c>
      <c r="G11" s="12">
        <v>2639</v>
      </c>
      <c r="H11" s="16">
        <f>AVERAGE(E11:G11)*1000/47400</f>
      </c>
      <c r="I11" s="6" t="s">
        <v>12</v>
      </c>
      <c r="J11" s="30">
        <v>100</v>
      </c>
      <c r="K11" s="17">
        <v>49754553.35463258</v>
      </c>
      <c r="L11" s="17">
        <v>51659033.86581469</v>
      </c>
      <c r="M11" s="17">
        <v>52489518.210862614</v>
      </c>
      <c r="N11" s="12">
        <v>2</v>
      </c>
      <c r="O11" s="6" t="s">
        <v>35</v>
      </c>
      <c r="P11" s="6" t="s">
        <v>36</v>
      </c>
      <c r="Q11" s="6" t="s">
        <v>37</v>
      </c>
    </row>
    <row x14ac:dyDescent="0.25" r="12" customHeight="1" ht="18">
      <c r="A12" s="15">
        <v>45350.729166666664</v>
      </c>
      <c r="B12" s="12">
        <v>52498</v>
      </c>
      <c r="C12" s="12">
        <v>61810</v>
      </c>
      <c r="D12" s="12">
        <v>69764</v>
      </c>
      <c r="E12" s="12">
        <v>2599</v>
      </c>
      <c r="F12" s="12">
        <v>2587</v>
      </c>
      <c r="G12" s="12">
        <v>2639</v>
      </c>
      <c r="H12" s="16">
        <f>AVERAGE(E12:G12)*1000/47400</f>
      </c>
      <c r="I12" s="6" t="s">
        <v>12</v>
      </c>
      <c r="J12" s="30">
        <v>1</v>
      </c>
      <c r="K12" s="17">
        <v>954021.162939297</v>
      </c>
      <c r="L12" s="17">
        <v>1123243.7060702874</v>
      </c>
      <c r="M12" s="17">
        <v>1267787.9616613416</v>
      </c>
      <c r="N12" s="12">
        <v>12</v>
      </c>
      <c r="O12" s="6" t="s">
        <v>38</v>
      </c>
      <c r="P12" s="6" t="s">
        <v>39</v>
      </c>
      <c r="Q12" s="6" t="s">
        <v>40</v>
      </c>
    </row>
    <row x14ac:dyDescent="0.25" r="13" customHeight="1" ht="18">
      <c r="A13" s="15">
        <v>45351.395833333336</v>
      </c>
      <c r="B13" s="12">
        <v>36172</v>
      </c>
      <c r="C13" s="12">
        <v>38084</v>
      </c>
      <c r="D13" s="12">
        <v>40657</v>
      </c>
      <c r="E13" s="12">
        <v>2647</v>
      </c>
      <c r="F13" s="12">
        <v>2666</v>
      </c>
      <c r="G13" s="12">
        <v>2565</v>
      </c>
      <c r="H13" s="16">
        <f>AVERAGE(E13:G13)*1000/47400</f>
      </c>
      <c r="I13" s="6" t="s">
        <v>12</v>
      </c>
      <c r="J13" s="30">
        <v>2</v>
      </c>
      <c r="K13" s="17">
        <v>1305828.4843869002</v>
      </c>
      <c r="L13" s="17">
        <v>1374852.7037319117</v>
      </c>
      <c r="M13" s="17">
        <v>1467739.3754760092</v>
      </c>
      <c r="N13" s="12">
        <v>12</v>
      </c>
      <c r="O13" s="6" t="s">
        <v>26</v>
      </c>
      <c r="P13" s="6" t="s">
        <v>27</v>
      </c>
      <c r="Q13" s="6" t="s">
        <v>28</v>
      </c>
    </row>
    <row x14ac:dyDescent="0.25" r="14" customHeight="1" ht="18">
      <c r="A14" s="15">
        <v>45352.395833333336</v>
      </c>
      <c r="B14" s="12">
        <v>25647</v>
      </c>
      <c r="C14" s="12">
        <v>27827</v>
      </c>
      <c r="D14" s="12">
        <v>28815</v>
      </c>
      <c r="E14" s="12">
        <v>2474</v>
      </c>
      <c r="F14" s="12">
        <v>2453</v>
      </c>
      <c r="G14" s="12">
        <v>2516</v>
      </c>
      <c r="H14" s="16">
        <f>AVERAGE(E14:G14)*1000/47400</f>
      </c>
      <c r="I14" s="6" t="s">
        <v>12</v>
      </c>
      <c r="J14" s="30">
        <v>5.000000000000001</v>
      </c>
      <c r="K14" s="17">
        <v>2449955.2599758166</v>
      </c>
      <c r="L14" s="17">
        <v>2658201.9347037487</v>
      </c>
      <c r="M14" s="17">
        <v>2752581.6203143895</v>
      </c>
      <c r="N14" s="12">
        <v>12</v>
      </c>
      <c r="O14" s="6" t="s">
        <v>41</v>
      </c>
      <c r="P14" s="6" t="s">
        <v>42</v>
      </c>
      <c r="Q14" s="6" t="s">
        <v>43</v>
      </c>
    </row>
    <row x14ac:dyDescent="0.25" r="15" customHeight="1" ht="18">
      <c r="A15" s="15">
        <v>45355.395833333336</v>
      </c>
      <c r="B15" s="12">
        <v>41799</v>
      </c>
      <c r="C15" s="12">
        <v>45628</v>
      </c>
      <c r="D15" s="12">
        <v>49535</v>
      </c>
      <c r="E15" s="12">
        <v>2402</v>
      </c>
      <c r="F15" s="12">
        <v>2380</v>
      </c>
      <c r="G15" s="12">
        <v>2366</v>
      </c>
      <c r="H15" s="16">
        <f>AVERAGE(E15:G15)*1000/47400</f>
      </c>
      <c r="I15" s="6" t="s">
        <v>12</v>
      </c>
      <c r="J15" s="30">
        <v>20</v>
      </c>
      <c r="K15" s="17">
        <v>16630715.724678233</v>
      </c>
      <c r="L15" s="17">
        <v>18154173.475097932</v>
      </c>
      <c r="M15" s="17">
        <v>19708665.360940125</v>
      </c>
      <c r="N15" s="12">
        <v>3</v>
      </c>
      <c r="O15" s="6" t="s">
        <v>41</v>
      </c>
      <c r="P15" s="6" t="s">
        <v>42</v>
      </c>
      <c r="Q15" s="6" t="s">
        <v>43</v>
      </c>
    </row>
    <row x14ac:dyDescent="0.25" r="16" customHeight="1" ht="18">
      <c r="A16" s="15">
        <v>45356.395833333336</v>
      </c>
      <c r="B16" s="12">
        <v>31191</v>
      </c>
      <c r="C16" s="12">
        <v>30469</v>
      </c>
      <c r="D16" s="12">
        <v>33305</v>
      </c>
      <c r="E16" s="12">
        <v>2723</v>
      </c>
      <c r="F16" s="12">
        <v>2624</v>
      </c>
      <c r="G16" s="12">
        <v>2557</v>
      </c>
      <c r="H16" s="16">
        <f>AVERAGE(E16:G16)*1000/47400</f>
      </c>
      <c r="I16" s="6" t="s">
        <v>12</v>
      </c>
      <c r="J16" s="30">
        <v>50</v>
      </c>
      <c r="K16" s="17">
        <v>28057693.572874498</v>
      </c>
      <c r="L16" s="17">
        <v>27408222.41902834</v>
      </c>
      <c r="M16" s="17">
        <v>29959330.718623485</v>
      </c>
      <c r="N16" s="12">
        <v>4</v>
      </c>
      <c r="O16" s="6" t="s">
        <v>20</v>
      </c>
      <c r="P16" s="6" t="s">
        <v>21</v>
      </c>
      <c r="Q16" s="6" t="s">
        <v>22</v>
      </c>
    </row>
    <row x14ac:dyDescent="0.25" r="17" customHeight="1" ht="18">
      <c r="A17" s="15">
        <v>45357.395833333336</v>
      </c>
      <c r="B17" s="12">
        <v>36770</v>
      </c>
      <c r="C17" s="12">
        <v>33565</v>
      </c>
      <c r="D17" s="12">
        <v>41269</v>
      </c>
      <c r="E17" s="12">
        <v>2796</v>
      </c>
      <c r="F17" s="12">
        <v>2699</v>
      </c>
      <c r="G17" s="12">
        <v>2754</v>
      </c>
      <c r="H17" s="16">
        <f>AVERAGE(E17:G17)*1000/47400</f>
      </c>
      <c r="I17" s="6" t="s">
        <v>12</v>
      </c>
      <c r="J17" s="30">
        <v>50</v>
      </c>
      <c r="K17" s="17">
        <v>31692896.108619228</v>
      </c>
      <c r="L17" s="17">
        <v>28930433.991999034</v>
      </c>
      <c r="M17" s="17">
        <v>35570686.14377501</v>
      </c>
      <c r="N17" s="12">
        <v>5</v>
      </c>
      <c r="O17" s="6" t="s">
        <v>44</v>
      </c>
      <c r="P17" s="6" t="s">
        <v>45</v>
      </c>
      <c r="Q17" s="6" t="s">
        <v>46</v>
      </c>
    </row>
    <row x14ac:dyDescent="0.25" r="18" customHeight="1" ht="18">
      <c r="A18" s="15">
        <v>45358.395833333336</v>
      </c>
      <c r="B18" s="12">
        <v>44001</v>
      </c>
      <c r="C18" s="12">
        <v>38813</v>
      </c>
      <c r="D18" s="12">
        <v>45287</v>
      </c>
      <c r="E18" s="12">
        <v>2639</v>
      </c>
      <c r="F18" s="12">
        <v>2550</v>
      </c>
      <c r="G18" s="12">
        <v>2603</v>
      </c>
      <c r="H18" s="16">
        <f>AVERAGE(E18:G18)*1000/47400</f>
      </c>
      <c r="I18" s="6" t="s">
        <v>12</v>
      </c>
      <c r="J18" s="30">
        <v>50</v>
      </c>
      <c r="K18" s="17">
        <v>40149783.11088295</v>
      </c>
      <c r="L18" s="17">
        <v>35415866.273100615</v>
      </c>
      <c r="M18" s="17">
        <v>41323225.1026694</v>
      </c>
      <c r="N18" s="12">
        <v>5</v>
      </c>
      <c r="O18" s="41" t="s">
        <v>47</v>
      </c>
      <c r="P18" s="41" t="s">
        <v>48</v>
      </c>
      <c r="Q18" s="41" t="s">
        <v>49</v>
      </c>
    </row>
    <row x14ac:dyDescent="0.25" r="19" customHeight="1" ht="18">
      <c r="A19" s="15">
        <v>45358.729166666664</v>
      </c>
      <c r="B19" s="12">
        <v>62158</v>
      </c>
      <c r="C19" s="12">
        <v>73117</v>
      </c>
      <c r="D19" s="12">
        <v>60527</v>
      </c>
      <c r="E19" s="12">
        <v>2639</v>
      </c>
      <c r="F19" s="12">
        <v>2550</v>
      </c>
      <c r="G19" s="12">
        <v>2603</v>
      </c>
      <c r="H19" s="16">
        <f>AVERAGE(E19:G19)*1000/47400</f>
      </c>
      <c r="I19" s="6" t="s">
        <v>12</v>
      </c>
      <c r="J19" s="30">
        <v>0.9999999999999999</v>
      </c>
      <c r="K19" s="17">
        <v>1134351.5913757698</v>
      </c>
      <c r="L19" s="17">
        <v>1334347.7156057493</v>
      </c>
      <c r="M19" s="17">
        <v>1104586.6786447638</v>
      </c>
      <c r="N19" s="12">
        <v>5</v>
      </c>
      <c r="O19" s="6" t="s">
        <v>50</v>
      </c>
      <c r="P19" s="6" t="s">
        <v>51</v>
      </c>
      <c r="Q19" s="6" t="s">
        <v>52</v>
      </c>
    </row>
    <row x14ac:dyDescent="0.25" r="20" customHeight="1" ht="18">
      <c r="A20" s="15">
        <v>45359.395833333336</v>
      </c>
      <c r="B20" s="12">
        <v>24537</v>
      </c>
      <c r="C20" s="12">
        <v>28644</v>
      </c>
      <c r="D20" s="12">
        <v>26187</v>
      </c>
      <c r="E20" s="12">
        <v>2480</v>
      </c>
      <c r="F20" s="12">
        <v>2381</v>
      </c>
      <c r="G20" s="12">
        <v>2327</v>
      </c>
      <c r="H20" s="16">
        <f>AVERAGE(E20:G20)*1000/47400</f>
      </c>
      <c r="I20" s="6" t="s">
        <v>12</v>
      </c>
      <c r="J20" s="30">
        <v>3</v>
      </c>
      <c r="K20" s="17">
        <v>1456244.3238731218</v>
      </c>
      <c r="L20" s="17">
        <v>1699990.3171953254</v>
      </c>
      <c r="M20" s="17">
        <v>1554170.0333889816</v>
      </c>
      <c r="N20" s="12">
        <v>6</v>
      </c>
      <c r="O20" s="6" t="s">
        <v>44</v>
      </c>
      <c r="P20" s="6" t="s">
        <v>45</v>
      </c>
      <c r="Q20" s="6" t="s">
        <v>46</v>
      </c>
    </row>
    <row x14ac:dyDescent="0.25" r="21" customHeight="1" ht="18">
      <c r="A21" s="15">
        <v>45363.395833333336</v>
      </c>
      <c r="B21" s="12">
        <v>39752</v>
      </c>
      <c r="C21" s="12">
        <v>44452</v>
      </c>
      <c r="D21" s="12">
        <v>42682</v>
      </c>
      <c r="E21" s="12">
        <v>2284</v>
      </c>
      <c r="F21" s="12">
        <v>2309</v>
      </c>
      <c r="G21" s="12">
        <v>2349</v>
      </c>
      <c r="H21" s="16">
        <f>AVERAGE(E21:G21)*1000/49350</f>
      </c>
      <c r="I21" s="6" t="s">
        <v>12</v>
      </c>
      <c r="J21" s="30">
        <v>20</v>
      </c>
      <c r="K21" s="17">
        <v>16955585.133967154</v>
      </c>
      <c r="L21" s="17">
        <v>18960295.5920484</v>
      </c>
      <c r="M21" s="17">
        <v>18205330.164217804</v>
      </c>
      <c r="N21" s="12">
        <v>6</v>
      </c>
      <c r="O21" s="6" t="s">
        <v>47</v>
      </c>
      <c r="P21" s="6" t="s">
        <v>48</v>
      </c>
      <c r="Q21" s="6" t="s">
        <v>49</v>
      </c>
    </row>
    <row x14ac:dyDescent="0.25" r="22" customHeight="1" ht="18">
      <c r="A22" s="15">
        <v>45364.395833333336</v>
      </c>
      <c r="B22" s="12">
        <v>24463</v>
      </c>
      <c r="C22" s="12">
        <v>26679</v>
      </c>
      <c r="D22" s="12">
        <v>27180</v>
      </c>
      <c r="E22" s="12">
        <v>2272</v>
      </c>
      <c r="F22" s="12">
        <v>2204</v>
      </c>
      <c r="G22" s="12">
        <v>2254</v>
      </c>
      <c r="H22" s="16">
        <f>AVERAGE(E22:G22)*1000/49350</f>
      </c>
      <c r="I22" s="6" t="s">
        <v>12</v>
      </c>
      <c r="J22" s="30">
        <v>50</v>
      </c>
      <c r="K22" s="17">
        <v>26907482.54086181</v>
      </c>
      <c r="L22" s="17">
        <v>29344917.904903416</v>
      </c>
      <c r="M22" s="17">
        <v>29895980.683506686</v>
      </c>
      <c r="N22" s="12">
        <v>7</v>
      </c>
      <c r="O22" s="6" t="s">
        <v>44</v>
      </c>
      <c r="P22" s="6" t="s">
        <v>45</v>
      </c>
      <c r="Q22" s="6" t="s">
        <v>46</v>
      </c>
    </row>
    <row x14ac:dyDescent="0.25" r="23" customHeight="1" ht="18">
      <c r="A23" s="15">
        <v>45365.395833333336</v>
      </c>
      <c r="B23" s="12">
        <v>38209</v>
      </c>
      <c r="C23" s="12">
        <v>37928</v>
      </c>
      <c r="D23" s="12">
        <v>41072</v>
      </c>
      <c r="E23" s="12">
        <v>2462</v>
      </c>
      <c r="F23" s="12">
        <v>2461</v>
      </c>
      <c r="G23" s="12">
        <v>2486</v>
      </c>
      <c r="H23" s="16">
        <f>AVERAGE(E23:G23)*1000/49350</f>
      </c>
      <c r="I23" s="6" t="s">
        <v>12</v>
      </c>
      <c r="J23" s="30">
        <v>50</v>
      </c>
      <c r="K23" s="17">
        <v>38175478.80955595</v>
      </c>
      <c r="L23" s="17">
        <v>37894725.33405318</v>
      </c>
      <c r="M23" s="17">
        <v>41035967.06708058</v>
      </c>
      <c r="N23" s="7"/>
      <c r="O23" s="6"/>
      <c r="P23" s="6"/>
      <c r="Q23" s="6"/>
    </row>
    <row x14ac:dyDescent="0.25" r="24" customHeight="1" ht="18">
      <c r="A24" s="15">
        <v>45366.395833333336</v>
      </c>
      <c r="B24" s="12">
        <v>39812</v>
      </c>
      <c r="C24" s="12">
        <v>44812</v>
      </c>
      <c r="D24" s="12">
        <v>48484</v>
      </c>
      <c r="E24" s="39"/>
      <c r="F24" s="39"/>
      <c r="G24" s="39"/>
      <c r="H24" s="16">
        <v>48.79</v>
      </c>
      <c r="I24" s="6" t="s">
        <v>12</v>
      </c>
      <c r="J24" s="30">
        <v>50.00000000000001</v>
      </c>
      <c r="K24" s="17">
        <v>40799344.127895065</v>
      </c>
      <c r="L24" s="17">
        <v>45923344.94773519</v>
      </c>
      <c r="M24" s="17">
        <v>49686411.14982578</v>
      </c>
      <c r="N24" s="7"/>
      <c r="O24" s="6"/>
      <c r="P24" s="6"/>
      <c r="Q24" s="6"/>
    </row>
    <row x14ac:dyDescent="0.25" r="25" customHeight="1" ht="18">
      <c r="A25" s="15">
        <v>45366.729166666664</v>
      </c>
      <c r="B25" s="12">
        <v>66046</v>
      </c>
      <c r="C25" s="12">
        <v>63743</v>
      </c>
      <c r="D25" s="12">
        <v>63624</v>
      </c>
      <c r="E25" s="39"/>
      <c r="F25" s="39"/>
      <c r="G25" s="39"/>
      <c r="H25" s="16">
        <v>48.79</v>
      </c>
      <c r="I25" s="6" t="s">
        <v>12</v>
      </c>
      <c r="J25" s="30">
        <v>1.0000000000000002</v>
      </c>
      <c r="K25" s="17">
        <v>1353679.0325886454</v>
      </c>
      <c r="L25" s="17">
        <v>1306476.737036278</v>
      </c>
      <c r="M25" s="17">
        <v>1304037.712646034</v>
      </c>
      <c r="N25" s="7"/>
      <c r="O25" s="6"/>
      <c r="P25" s="6"/>
      <c r="Q25" s="6"/>
    </row>
    <row x14ac:dyDescent="0.25" r="26" customHeight="1" ht="18">
      <c r="A26" s="15">
        <v>45367.395833333336</v>
      </c>
      <c r="B26" s="12">
        <v>55454</v>
      </c>
      <c r="C26" s="12">
        <v>42803</v>
      </c>
      <c r="D26" s="12">
        <v>42171</v>
      </c>
      <c r="E26" s="12">
        <v>1147</v>
      </c>
      <c r="F26" s="12">
        <v>1132</v>
      </c>
      <c r="G26" s="12">
        <v>1201</v>
      </c>
      <c r="H26" s="16">
        <f>AVERAGE(E26:G26)*1000/49350</f>
      </c>
      <c r="I26" s="6" t="s">
        <v>13</v>
      </c>
      <c r="J26" s="30">
        <v>1</v>
      </c>
      <c r="K26" s="17">
        <v>2359185.2586206896</v>
      </c>
      <c r="L26" s="17">
        <v>1820972.456896552</v>
      </c>
      <c r="M26" s="17">
        <v>1794085.2155172415</v>
      </c>
      <c r="N26" s="7"/>
      <c r="O26" s="6"/>
      <c r="P26" s="6"/>
      <c r="Q26" s="6"/>
    </row>
    <row x14ac:dyDescent="0.25" r="27" customHeight="1" ht="18">
      <c r="A27" s="15">
        <v>45368.395833333336</v>
      </c>
      <c r="B27" s="12">
        <v>25770</v>
      </c>
      <c r="C27" s="12">
        <v>21152</v>
      </c>
      <c r="D27" s="12">
        <v>20749</v>
      </c>
      <c r="E27" s="12">
        <v>419</v>
      </c>
      <c r="F27" s="12">
        <v>410</v>
      </c>
      <c r="G27" s="12">
        <v>435</v>
      </c>
      <c r="H27" s="16">
        <f>AVERAGE(E27:G27)*1000/49350</f>
      </c>
      <c r="I27" s="6" t="s">
        <v>53</v>
      </c>
      <c r="J27" s="30">
        <v>1</v>
      </c>
      <c r="K27" s="17">
        <v>3018392.8006329113</v>
      </c>
      <c r="L27" s="17">
        <v>2477494.9367088606</v>
      </c>
      <c r="M27" s="17">
        <v>2430292.286392405</v>
      </c>
      <c r="N27" s="7"/>
      <c r="O27" s="6"/>
      <c r="P27" s="6"/>
      <c r="Q27" s="6"/>
    </row>
    <row x14ac:dyDescent="0.25" r="28" customHeight="1" ht="18">
      <c r="A28" s="15">
        <v>45369.395833333336</v>
      </c>
      <c r="B28" s="12">
        <v>11273</v>
      </c>
      <c r="C28" s="12">
        <v>9310</v>
      </c>
      <c r="D28" s="12">
        <v>8490</v>
      </c>
      <c r="E28" s="12">
        <v>2384</v>
      </c>
      <c r="F28" s="12">
        <v>2445</v>
      </c>
      <c r="G28" s="12">
        <v>2453</v>
      </c>
      <c r="H28" s="16">
        <f>AVERAGE(E28:G28)*1000/49350</f>
      </c>
      <c r="I28" s="6" t="s">
        <v>12</v>
      </c>
      <c r="J28" s="30">
        <v>20</v>
      </c>
      <c r="K28" s="17">
        <v>4583816.671244164</v>
      </c>
      <c r="L28" s="17">
        <v>3785623.455094754</v>
      </c>
      <c r="M28" s="17">
        <v>3452195.8253227132</v>
      </c>
      <c r="N28" s="7"/>
      <c r="O28" s="6"/>
      <c r="P28" s="6"/>
      <c r="Q28" s="6"/>
    </row>
    <row x14ac:dyDescent="0.25" r="29" customHeight="1" ht="18">
      <c r="A29" s="15">
        <v>45370.395833333336</v>
      </c>
      <c r="B29" s="12">
        <v>26872</v>
      </c>
      <c r="C29" s="12">
        <v>24025</v>
      </c>
      <c r="D29" s="12">
        <v>28681</v>
      </c>
      <c r="E29" s="12">
        <v>2514</v>
      </c>
      <c r="F29" s="12">
        <v>2431</v>
      </c>
      <c r="G29" s="12">
        <v>2517</v>
      </c>
      <c r="H29" s="16">
        <f>AVERAGE(E29:G29)*1000/49350</f>
      </c>
      <c r="I29" s="6" t="s">
        <v>12</v>
      </c>
      <c r="J29" s="30">
        <v>20</v>
      </c>
      <c r="K29" s="17">
        <v>10663091.932457784</v>
      </c>
      <c r="L29" s="17">
        <v>9533372.420262663</v>
      </c>
      <c r="M29" s="17">
        <v>11380922.138836771</v>
      </c>
      <c r="N29" s="7"/>
      <c r="O29" s="6"/>
      <c r="P29" s="6"/>
      <c r="Q29" s="6"/>
    </row>
    <row x14ac:dyDescent="0.25" r="30" customHeight="1" ht="18">
      <c r="A30" s="15">
        <v>45371.395833333336</v>
      </c>
      <c r="B30" s="12">
        <v>23796</v>
      </c>
      <c r="C30" s="12">
        <v>23100</v>
      </c>
      <c r="D30" s="12">
        <v>23158</v>
      </c>
      <c r="E30" s="12">
        <v>2506</v>
      </c>
      <c r="F30" s="12">
        <v>2532</v>
      </c>
      <c r="G30" s="12">
        <v>2476</v>
      </c>
      <c r="H30" s="16">
        <f>AVERAGE(E30:G30)*1000/49350</f>
      </c>
      <c r="I30" s="6" t="s">
        <v>12</v>
      </c>
      <c r="J30" s="30">
        <v>50</v>
      </c>
      <c r="K30" s="17">
        <v>23442891.935054567</v>
      </c>
      <c r="L30" s="17">
        <v>22757219.8562683</v>
      </c>
      <c r="M30" s="17">
        <v>22814359.196167156</v>
      </c>
      <c r="N30" s="7"/>
      <c r="O30" s="6"/>
      <c r="P30" s="6"/>
      <c r="Q30" s="6"/>
    </row>
    <row x14ac:dyDescent="0.25" r="31" customHeight="1" ht="18">
      <c r="A31" s="15">
        <v>45372.395833333336</v>
      </c>
      <c r="B31" s="12">
        <v>34565</v>
      </c>
      <c r="C31" s="12">
        <v>35992</v>
      </c>
      <c r="D31" s="12">
        <v>42985</v>
      </c>
      <c r="E31" s="12">
        <v>2056</v>
      </c>
      <c r="F31" s="12">
        <v>2163</v>
      </c>
      <c r="G31" s="12">
        <v>2163</v>
      </c>
      <c r="H31" s="16">
        <f>AVERAGE(E31:G31)*1000/49350</f>
      </c>
      <c r="I31" s="6" t="s">
        <v>12</v>
      </c>
      <c r="J31" s="30">
        <v>50</v>
      </c>
      <c r="K31" s="17">
        <v>40092042.07145095</v>
      </c>
      <c r="L31" s="17">
        <v>41747223.4409276</v>
      </c>
      <c r="M31" s="17">
        <v>49858424.08335944</v>
      </c>
      <c r="N31" s="7"/>
      <c r="O31" s="6"/>
      <c r="P31" s="6"/>
      <c r="Q31" s="6"/>
    </row>
    <row x14ac:dyDescent="0.25" r="32" customHeight="1" ht="18">
      <c r="A32" s="15">
        <v>45373.395833333336</v>
      </c>
      <c r="B32" s="12">
        <v>35369</v>
      </c>
      <c r="C32" s="12">
        <v>37805</v>
      </c>
      <c r="D32" s="12">
        <v>45441</v>
      </c>
      <c r="E32" s="12">
        <v>2414</v>
      </c>
      <c r="F32" s="12">
        <v>2444</v>
      </c>
      <c r="G32" s="12">
        <v>2508</v>
      </c>
      <c r="H32" s="16">
        <f>AVERAGE(E32:G32)*1000/49350</f>
      </c>
      <c r="I32" s="6" t="s">
        <v>12</v>
      </c>
      <c r="J32" s="30">
        <v>75</v>
      </c>
      <c r="K32" s="17">
        <v>53316390.68015205</v>
      </c>
      <c r="L32" s="17">
        <v>56988496.97936465</v>
      </c>
      <c r="M32" s="17">
        <v>68499253.8351887</v>
      </c>
      <c r="N32" s="7"/>
      <c r="O32" s="6"/>
      <c r="P32" s="6"/>
      <c r="Q32" s="6"/>
    </row>
    <row x14ac:dyDescent="0.25" r="33" customHeight="1" ht="18">
      <c r="A33" s="15">
        <v>45376.395833333336</v>
      </c>
      <c r="B33" s="12">
        <v>21035</v>
      </c>
      <c r="C33" s="12">
        <v>17086</v>
      </c>
      <c r="D33" s="12">
        <v>20983</v>
      </c>
      <c r="E33" s="12">
        <v>2456</v>
      </c>
      <c r="F33" s="12">
        <v>2475</v>
      </c>
      <c r="G33" s="12">
        <v>2430</v>
      </c>
      <c r="H33" s="16">
        <f>AVERAGE(E33:G33)*1000/49350</f>
      </c>
      <c r="I33" s="6" t="s">
        <v>12</v>
      </c>
      <c r="J33" s="30">
        <v>150</v>
      </c>
      <c r="K33" s="17">
        <v>63460774.69093873</v>
      </c>
      <c r="L33" s="17">
        <v>51546983.426164925</v>
      </c>
      <c r="M33" s="17">
        <v>63303895.19087081</v>
      </c>
      <c r="N33" s="7"/>
      <c r="O33" s="6"/>
      <c r="P33" s="6"/>
      <c r="Q33" s="6"/>
    </row>
    <row x14ac:dyDescent="0.25" r="34" customHeight="1" ht="18">
      <c r="A34" s="19">
        <v>45376.75</v>
      </c>
      <c r="B34" s="12">
        <v>14829</v>
      </c>
      <c r="C34" s="12">
        <v>22746</v>
      </c>
      <c r="D34" s="12">
        <v>20871</v>
      </c>
      <c r="E34" s="12">
        <v>2456</v>
      </c>
      <c r="F34" s="12">
        <v>2475</v>
      </c>
      <c r="G34" s="12">
        <v>2430</v>
      </c>
      <c r="H34" s="16">
        <f>AVERAGE(E34:G34)*1000/49350</f>
      </c>
      <c r="I34" s="6" t="s">
        <v>12</v>
      </c>
      <c r="J34" s="30">
        <v>2</v>
      </c>
      <c r="K34" s="17">
        <v>596504.1298736585</v>
      </c>
      <c r="L34" s="17">
        <v>914969.5150115474</v>
      </c>
      <c r="M34" s="17">
        <v>839546.6784404294</v>
      </c>
      <c r="N34" s="7"/>
      <c r="O34" s="6"/>
      <c r="P34" s="6"/>
      <c r="Q34" s="6"/>
    </row>
    <row x14ac:dyDescent="0.25" r="35" customHeight="1" ht="18">
      <c r="A35" s="15">
        <v>45377.416666666664</v>
      </c>
      <c r="B35" s="12">
        <v>12844</v>
      </c>
      <c r="C35" s="12">
        <v>19427</v>
      </c>
      <c r="D35" s="12">
        <v>17950</v>
      </c>
      <c r="E35" s="12">
        <v>2452</v>
      </c>
      <c r="F35" s="12">
        <v>2438</v>
      </c>
      <c r="G35" s="12">
        <v>2349</v>
      </c>
      <c r="H35" s="16">
        <f>AVERAGE(E35:G35)*1000/49350</f>
      </c>
      <c r="I35" s="6" t="s">
        <v>12</v>
      </c>
      <c r="J35" s="30">
        <v>3</v>
      </c>
      <c r="K35" s="17">
        <v>788045.6692913387</v>
      </c>
      <c r="L35" s="17">
        <v>1191946.6846249483</v>
      </c>
      <c r="M35" s="17">
        <v>1101325.1139660175</v>
      </c>
      <c r="N35" s="7"/>
      <c r="O35" s="6"/>
      <c r="P35" s="6"/>
      <c r="Q35" s="6"/>
    </row>
    <row x14ac:dyDescent="0.25" r="36" customHeight="1" ht="18">
      <c r="A36" s="15">
        <v>45378.416666666664</v>
      </c>
      <c r="B36" s="12">
        <v>5301</v>
      </c>
      <c r="C36" s="12">
        <v>7241</v>
      </c>
      <c r="D36" s="12">
        <v>6699</v>
      </c>
      <c r="E36" s="12">
        <v>2590</v>
      </c>
      <c r="F36" s="12">
        <v>2598</v>
      </c>
      <c r="G36" s="12">
        <v>2611</v>
      </c>
      <c r="H36" s="16">
        <f>AVERAGE(E36:G36)*1000/49350</f>
      </c>
      <c r="I36" s="6" t="s">
        <v>12</v>
      </c>
      <c r="J36" s="30">
        <v>15</v>
      </c>
      <c r="K36" s="17">
        <v>1509449.3845364791</v>
      </c>
      <c r="L36" s="17">
        <v>2061860.5911014234</v>
      </c>
      <c r="M36" s="17">
        <v>1907527.1509167843</v>
      </c>
      <c r="N36" s="7"/>
      <c r="O36" s="6"/>
      <c r="P36" s="6"/>
      <c r="Q36" s="6"/>
    </row>
    <row x14ac:dyDescent="0.25" r="37" customHeight="1" ht="18">
      <c r="A37" s="15">
        <v>45379.416666666664</v>
      </c>
      <c r="B37" s="12">
        <v>13010</v>
      </c>
      <c r="C37" s="12">
        <v>17952</v>
      </c>
      <c r="D37" s="12">
        <v>15582</v>
      </c>
      <c r="E37" s="12">
        <v>2404</v>
      </c>
      <c r="F37" s="12">
        <v>2371</v>
      </c>
      <c r="G37" s="12">
        <v>2397</v>
      </c>
      <c r="H37" s="16">
        <f>AVERAGE(E37:G37)*1000/49350</f>
      </c>
      <c r="I37" s="6" t="s">
        <v>12</v>
      </c>
      <c r="J37" s="30">
        <v>15</v>
      </c>
      <c r="K37" s="17">
        <v>4028438.0228667045</v>
      </c>
      <c r="L37" s="17">
        <v>5558687.116564418</v>
      </c>
      <c r="M37" s="17">
        <v>4824836.377579477</v>
      </c>
      <c r="N37" s="7"/>
      <c r="O37" s="6"/>
      <c r="P37" s="6"/>
      <c r="Q37" s="6"/>
    </row>
    <row x14ac:dyDescent="0.25" r="38" customHeight="1" ht="18">
      <c r="A38" s="15">
        <v>45380.416666666664</v>
      </c>
      <c r="B38" s="12">
        <v>23827</v>
      </c>
      <c r="C38" s="12">
        <v>30400</v>
      </c>
      <c r="D38" s="12">
        <v>27791</v>
      </c>
      <c r="E38" s="12">
        <v>2296</v>
      </c>
      <c r="F38" s="12">
        <v>2251</v>
      </c>
      <c r="G38" s="12">
        <v>2385</v>
      </c>
      <c r="H38" s="16">
        <f>AVERAGE(E38:G38)*1000/49350</f>
      </c>
      <c r="I38" s="6" t="s">
        <v>12</v>
      </c>
      <c r="J38" s="30">
        <v>15</v>
      </c>
      <c r="K38" s="17">
        <v>7633267.49134449</v>
      </c>
      <c r="L38" s="17">
        <v>9739007.501442585</v>
      </c>
      <c r="M38" s="17">
        <v>8903182.811598385</v>
      </c>
      <c r="N38" s="7"/>
      <c r="O38" s="6"/>
      <c r="P38" s="6"/>
      <c r="Q38" s="6"/>
    </row>
    <row x14ac:dyDescent="0.25" r="39" customHeight="1" ht="18">
      <c r="A39" s="15">
        <v>45384.416666666664</v>
      </c>
      <c r="B39" s="12">
        <v>13132</v>
      </c>
      <c r="C39" s="12">
        <v>33113</v>
      </c>
      <c r="D39" s="12">
        <v>19671</v>
      </c>
      <c r="E39" s="12">
        <v>2484</v>
      </c>
      <c r="F39" s="12">
        <v>2546</v>
      </c>
      <c r="G39" s="12">
        <v>2502</v>
      </c>
      <c r="H39" s="16">
        <f>AVERAGE(E39:G39)*1000/49350</f>
      </c>
      <c r="I39" s="6" t="s">
        <v>12</v>
      </c>
      <c r="J39" s="30">
        <v>100</v>
      </c>
      <c r="K39" s="17">
        <v>28046633.006347377</v>
      </c>
      <c r="L39" s="17">
        <v>70720998.99019043</v>
      </c>
      <c r="M39" s="17">
        <v>42012284.33352568</v>
      </c>
      <c r="N39" s="7"/>
      <c r="O39" s="6"/>
      <c r="P39" s="6"/>
      <c r="Q39" s="6"/>
    </row>
    <row x14ac:dyDescent="0.25" r="40" customHeight="1" ht="18">
      <c r="A40" s="15">
        <v>45385.416666666664</v>
      </c>
      <c r="B40" s="12">
        <v>17282</v>
      </c>
      <c r="C40" s="12">
        <v>17226</v>
      </c>
      <c r="D40" s="12">
        <v>14716</v>
      </c>
      <c r="E40" s="12">
        <v>2465</v>
      </c>
      <c r="F40" s="12">
        <v>2489</v>
      </c>
      <c r="G40" s="12">
        <v>2469</v>
      </c>
      <c r="H40" s="16">
        <f>AVERAGE(E40:G40)*1000/49350</f>
      </c>
      <c r="I40" s="6" t="s">
        <v>12</v>
      </c>
      <c r="J40" s="30">
        <v>100</v>
      </c>
      <c r="K40" s="17">
        <v>33969730.483271375</v>
      </c>
      <c r="L40" s="17">
        <v>33859656.133829</v>
      </c>
      <c r="M40" s="17">
        <v>28925966.542750932</v>
      </c>
      <c r="N40" s="7"/>
      <c r="O40" s="6"/>
      <c r="P40" s="6"/>
      <c r="Q40" s="6"/>
    </row>
  </sheetData>
  <mergeCells count="3">
    <mergeCell ref="A1:Q1"/>
    <mergeCell ref="B2:D2"/>
    <mergeCell ref="E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S56"/>
  <sheetViews>
    <sheetView workbookViewId="0"/>
  </sheetViews>
  <sheetFormatPr defaultRowHeight="15" x14ac:dyDescent="0.25"/>
  <cols>
    <col min="1" max="1" style="20" width="13.576428571428572" customWidth="1" bestFit="1"/>
    <col min="2" max="2" style="21" width="12.005" customWidth="1" bestFit="1"/>
    <col min="3" max="3" style="20" width="10.719285714285713" customWidth="1" bestFit="1"/>
    <col min="4" max="4" style="20" width="10.719285714285713" customWidth="1" bestFit="1"/>
    <col min="5" max="5" style="20" width="10.719285714285713" customWidth="1" bestFit="1"/>
    <col min="6" max="6" style="20" width="10.719285714285713" customWidth="1" bestFit="1"/>
    <col min="7" max="7" style="20" width="10.719285714285713" customWidth="1" bestFit="1"/>
    <col min="8" max="8" style="20" width="10.719285714285713" customWidth="1" bestFit="1"/>
    <col min="9" max="9" style="22" width="13.005" customWidth="1" bestFit="1"/>
    <col min="10" max="10" style="23" width="15.719285714285713" customWidth="1" bestFit="1"/>
    <col min="11" max="11" style="21" width="13.005" customWidth="1" bestFit="1"/>
    <col min="12" max="12" style="24" width="13.005" customWidth="1" bestFit="1"/>
    <col min="13" max="13" style="24" width="13.005" customWidth="1" bestFit="1"/>
    <col min="14" max="14" style="24" width="13.005" customWidth="1" bestFit="1"/>
    <col min="15" max="15" style="23" width="13.005" customWidth="1" bestFit="1"/>
    <col min="16" max="16" style="23" width="13.005" customWidth="1" bestFit="1"/>
    <col min="17" max="17" style="23" width="13.005" customWidth="1" bestFit="1"/>
    <col min="18" max="18" style="23" width="13.005" customWidth="1" bestFit="1"/>
    <col min="19" max="19" style="23" width="13.005" customWidth="1" bestFit="1"/>
    <col min="20" max="20" style="23" width="13.005" customWidth="1" bestFit="1"/>
    <col min="21" max="21" style="23" width="13.005" customWidth="1" bestFit="1"/>
    <col min="22" max="22" style="23" width="13.005" customWidth="1" bestFit="1"/>
    <col min="23" max="23" style="23" width="13.005" customWidth="1" bestFit="1"/>
    <col min="24" max="24" style="23" width="13.005" customWidth="1" bestFit="1"/>
    <col min="25" max="25" style="23" width="13.005" customWidth="1" bestFit="1"/>
    <col min="26" max="26" style="23" width="13.005" customWidth="1" bestFit="1"/>
    <col min="27" max="27" style="23" width="13.005" customWidth="1" bestFit="1"/>
    <col min="28" max="28" style="23" width="13.005" customWidth="1" bestFit="1"/>
    <col min="29" max="29" style="23" width="13.005" customWidth="1" bestFit="1"/>
    <col min="30" max="30" style="23" width="13.005" customWidth="1" bestFit="1"/>
    <col min="31" max="31" style="23" width="13.005" customWidth="1" bestFit="1"/>
    <col min="32" max="32" style="23" width="13.005" customWidth="1" bestFit="1"/>
    <col min="33" max="33" style="23" width="13.005" customWidth="1" bestFit="1"/>
    <col min="34" max="34" style="23" width="13.005" customWidth="1" bestFit="1"/>
    <col min="35" max="35" style="23" width="13.005" customWidth="1" bestFit="1"/>
    <col min="36" max="36" style="23" width="13.005" customWidth="1" bestFit="1"/>
    <col min="37" max="37" style="23" width="13.005" customWidth="1" bestFit="1"/>
    <col min="38" max="38" style="23" width="13.005" customWidth="1" bestFit="1"/>
    <col min="39" max="39" style="23" width="13.005" customWidth="1" bestFit="1"/>
    <col min="40" max="40" style="23" width="13.005" customWidth="1" bestFit="1"/>
    <col min="41" max="41" style="23" width="13.005" customWidth="1" bestFit="1"/>
    <col min="42" max="42" style="23" width="13.005" customWidth="1" bestFit="1"/>
    <col min="43" max="43" style="23" width="13.005" customWidth="1" bestFit="1"/>
    <col min="44" max="44" style="23" width="13.005" customWidth="1" bestFit="1"/>
    <col min="45" max="45" style="23" width="13.005" customWidth="1" bestFit="1"/>
    <col min="46" max="46" style="23" width="13.005" customWidth="1" bestFit="1"/>
    <col min="47" max="47" style="23" width="13.005" customWidth="1" bestFit="1"/>
    <col min="48" max="48" style="23" width="13.005" customWidth="1" bestFit="1"/>
    <col min="49" max="49" style="23" width="13.005" customWidth="1" bestFit="1"/>
    <col min="50" max="50" style="23" width="13.005" customWidth="1" bestFit="1"/>
    <col min="51" max="51" style="23" width="13.005" customWidth="1" bestFit="1"/>
    <col min="52" max="52" style="23" width="13.005" customWidth="1" bestFit="1"/>
    <col min="53" max="53" style="23" width="13.005" customWidth="1" bestFit="1"/>
    <col min="54" max="54" style="23" width="13.005" customWidth="1" bestFit="1"/>
    <col min="55" max="55" style="23" width="13.005" customWidth="1" bestFit="1"/>
    <col min="56" max="56" style="23" width="13.005" customWidth="1" bestFit="1"/>
    <col min="57" max="57" style="23" width="13.005" customWidth="1" bestFit="1"/>
    <col min="58" max="58" style="23" width="13.005" customWidth="1" bestFit="1"/>
    <col min="59" max="59" style="23" width="13.005" customWidth="1" bestFit="1"/>
    <col min="60" max="60" style="23" width="13.005" customWidth="1" bestFit="1"/>
    <col min="61" max="61" style="23" width="13.005" customWidth="1" bestFit="1"/>
    <col min="62" max="62" style="23" width="13.005" customWidth="1" bestFit="1"/>
    <col min="63" max="63" style="23" width="13.005" customWidth="1" bestFit="1"/>
    <col min="64" max="64" style="23" width="13.005" customWidth="1" bestFit="1"/>
    <col min="65" max="65" style="23" width="13.005" customWidth="1" bestFit="1"/>
    <col min="66" max="66" style="23" width="13.005" customWidth="1" bestFit="1"/>
    <col min="67" max="67" style="23" width="13.005" customWidth="1" bestFit="1"/>
    <col min="68" max="68" style="23" width="13.005" customWidth="1" bestFit="1"/>
    <col min="69" max="69" style="23" width="13.005" customWidth="1" bestFit="1"/>
    <col min="70" max="70" style="23" width="13.005" customWidth="1" bestFit="1"/>
    <col min="71" max="71" style="23" width="13.005" customWidth="1" bestFit="1"/>
    <col min="72" max="72" style="23" width="13.005" customWidth="1" bestFit="1"/>
    <col min="73" max="73" style="23" width="13.005" customWidth="1" bestFit="1"/>
    <col min="74" max="74" style="23" width="13.005" customWidth="1" bestFit="1"/>
    <col min="75" max="75" style="23" width="13.005" customWidth="1" bestFit="1"/>
    <col min="76" max="76" style="23" width="13.005" customWidth="1" bestFit="1"/>
    <col min="77" max="77" style="23" width="13.005" customWidth="1" bestFit="1"/>
    <col min="78" max="78" style="23" width="13.005" customWidth="1" bestFit="1"/>
    <col min="79" max="79" style="23" width="13.005" customWidth="1" bestFit="1"/>
    <col min="80" max="80" style="23" width="13.005" customWidth="1" bestFit="1"/>
    <col min="81" max="81" style="23" width="13.005" customWidth="1" bestFit="1"/>
    <col min="82" max="82" style="23" width="13.005" customWidth="1" bestFit="1"/>
    <col min="83" max="83" style="23" width="13.005" customWidth="1" bestFit="1"/>
    <col min="84" max="84" style="23" width="13.005" customWidth="1" bestFit="1"/>
    <col min="85" max="85" style="23" width="13.005" customWidth="1" bestFit="1"/>
    <col min="86" max="86" style="23" width="13.005" customWidth="1" bestFit="1"/>
    <col min="87" max="87" style="23" width="13.005" customWidth="1" bestFit="1"/>
    <col min="88" max="88" style="23" width="13.005" customWidth="1" bestFit="1"/>
    <col min="89" max="89" style="23" width="13.005" customWidth="1" bestFit="1"/>
    <col min="90" max="90" style="23" width="13.005" customWidth="1" bestFit="1"/>
    <col min="91" max="91" style="23" width="13.005" customWidth="1" bestFit="1"/>
    <col min="92" max="92" style="23" width="13.005" customWidth="1" bestFit="1"/>
    <col min="93" max="93" style="23" width="13.005" customWidth="1" bestFit="1"/>
    <col min="94" max="94" style="23" width="13.005" customWidth="1" bestFit="1"/>
    <col min="95" max="95" style="23" width="13.005" customWidth="1" bestFit="1"/>
    <col min="96" max="96" style="23" width="13.005" customWidth="1" bestFit="1"/>
    <col min="97" max="97" style="23" width="13.005" customWidth="1" bestFit="1"/>
  </cols>
  <sheetData>
    <row x14ac:dyDescent="0.25" r="1" customHeight="1" ht="18">
      <c r="A1" s="31" t="s">
        <v>16</v>
      </c>
      <c r="B1" s="32"/>
      <c r="C1" s="31"/>
      <c r="D1" s="31"/>
      <c r="E1" s="31"/>
      <c r="F1" s="31"/>
      <c r="G1" s="31"/>
      <c r="H1" s="31"/>
      <c r="I1" s="33"/>
      <c r="J1" s="34"/>
      <c r="K1" s="32"/>
      <c r="L1" s="35"/>
      <c r="M1" s="35"/>
      <c r="N1" s="3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</row>
    <row x14ac:dyDescent="0.25" r="2" customHeight="1" ht="18">
      <c r="A2" s="7" t="s">
        <v>17</v>
      </c>
      <c r="B2" s="8" t="s">
        <v>2</v>
      </c>
      <c r="C2" s="7" t="s">
        <v>3</v>
      </c>
      <c r="D2" s="7"/>
      <c r="E2" s="7"/>
      <c r="F2" s="7" t="s">
        <v>4</v>
      </c>
      <c r="G2" s="7"/>
      <c r="H2" s="7"/>
      <c r="I2" s="13"/>
      <c r="J2" s="6" t="s">
        <v>5</v>
      </c>
      <c r="K2" s="8" t="s">
        <v>6</v>
      </c>
      <c r="L2" s="11" t="s">
        <v>7</v>
      </c>
      <c r="M2" s="11"/>
      <c r="N2" s="1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</row>
    <row x14ac:dyDescent="0.25" r="3" customHeight="1" ht="18">
      <c r="A3" s="7"/>
      <c r="B3" s="8"/>
      <c r="C3" s="7" t="s">
        <v>8</v>
      </c>
      <c r="D3" s="7" t="s">
        <v>9</v>
      </c>
      <c r="E3" s="7" t="s">
        <v>10</v>
      </c>
      <c r="F3" s="12">
        <v>1</v>
      </c>
      <c r="G3" s="12">
        <v>2</v>
      </c>
      <c r="H3" s="12">
        <v>3</v>
      </c>
      <c r="I3" s="13" t="s">
        <v>11</v>
      </c>
      <c r="J3" s="6"/>
      <c r="K3" s="8"/>
      <c r="L3" s="11" t="s">
        <v>8</v>
      </c>
      <c r="M3" s="11" t="s">
        <v>9</v>
      </c>
      <c r="N3" s="11" t="s">
        <v>10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</row>
    <row x14ac:dyDescent="0.25" r="4" customHeight="1" ht="18">
      <c r="A4" s="14">
        <v>1</v>
      </c>
      <c r="B4" s="15">
        <v>45341.625</v>
      </c>
      <c r="C4" s="12">
        <v>28312</v>
      </c>
      <c r="D4" s="12">
        <v>42760</v>
      </c>
      <c r="E4" s="12">
        <v>48943</v>
      </c>
      <c r="F4" s="12">
        <v>2227</v>
      </c>
      <c r="G4" s="12">
        <v>2388</v>
      </c>
      <c r="H4" s="12">
        <v>2329</v>
      </c>
      <c r="I4" s="16">
        <f>AVERAGE(F4:H4)*1000/47400</f>
      </c>
      <c r="J4" s="6" t="s">
        <v>12</v>
      </c>
      <c r="K4" s="30">
        <v>0.9999999999999999</v>
      </c>
      <c r="L4" s="17">
        <v>579776.267281106</v>
      </c>
      <c r="M4" s="17">
        <v>875644.0092165899</v>
      </c>
      <c r="N4" s="17">
        <v>1002260.1670506913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</row>
    <row x14ac:dyDescent="0.25" r="5" customHeight="1" ht="18">
      <c r="A5" s="9"/>
      <c r="B5" s="15">
        <v>45342.395833333336</v>
      </c>
      <c r="C5" s="12">
        <v>10762</v>
      </c>
      <c r="D5" s="12">
        <v>17813</v>
      </c>
      <c r="E5" s="12">
        <v>17943</v>
      </c>
      <c r="F5" s="12">
        <v>1271</v>
      </c>
      <c r="G5" s="12">
        <v>1293</v>
      </c>
      <c r="H5" s="12">
        <v>1315</v>
      </c>
      <c r="I5" s="16">
        <f>AVERAGE(F5:H5)*1000/47400</f>
      </c>
      <c r="J5" s="6" t="s">
        <v>13</v>
      </c>
      <c r="K5" s="30">
        <v>1</v>
      </c>
      <c r="L5" s="17">
        <v>394523.43387470994</v>
      </c>
      <c r="M5" s="17">
        <v>653005.5684454757</v>
      </c>
      <c r="N5" s="17">
        <v>657771.2296983758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</row>
    <row x14ac:dyDescent="0.25" r="6" customHeight="1" ht="18">
      <c r="A6" s="9"/>
      <c r="B6" s="15">
        <v>45343.395833333336</v>
      </c>
      <c r="C6" s="12">
        <v>19984</v>
      </c>
      <c r="D6" s="12">
        <v>32474</v>
      </c>
      <c r="E6" s="12">
        <v>36462</v>
      </c>
      <c r="F6" s="17">
        <v>2458</v>
      </c>
      <c r="G6" s="17">
        <v>2448</v>
      </c>
      <c r="H6" s="17">
        <v>2527</v>
      </c>
      <c r="I6" s="16">
        <f>AVERAGE(F6:H6)*1000/47400</f>
      </c>
      <c r="J6" s="6" t="s">
        <v>12</v>
      </c>
      <c r="K6" s="30">
        <v>1</v>
      </c>
      <c r="L6" s="17">
        <v>382311.9601775865</v>
      </c>
      <c r="M6" s="17">
        <v>621256.935288578</v>
      </c>
      <c r="N6" s="17">
        <v>697550.9753800619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</row>
    <row x14ac:dyDescent="0.25" r="7" customHeight="1" ht="18">
      <c r="A7" s="9"/>
      <c r="B7" s="15">
        <v>45344.395833333336</v>
      </c>
      <c r="C7" s="12">
        <v>2353</v>
      </c>
      <c r="D7" s="12">
        <v>2507</v>
      </c>
      <c r="E7" s="12">
        <v>2456</v>
      </c>
      <c r="F7" s="12">
        <v>2632</v>
      </c>
      <c r="G7" s="12">
        <v>2515</v>
      </c>
      <c r="H7" s="12">
        <v>2523</v>
      </c>
      <c r="I7" s="16">
        <f>AVERAGE(F7:H7)*1000/47400</f>
      </c>
      <c r="J7" s="6" t="s">
        <v>12</v>
      </c>
      <c r="K7" s="30">
        <v>2</v>
      </c>
      <c r="L7" s="17">
        <v>87248.13559322034</v>
      </c>
      <c r="M7" s="17">
        <v>92958.38331160365</v>
      </c>
      <c r="N7" s="17">
        <v>91067.32724902217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x14ac:dyDescent="0.25" r="8" customHeight="1" ht="18">
      <c r="A8" s="9"/>
      <c r="B8" s="15">
        <v>45345.395833333336</v>
      </c>
      <c r="C8" s="12">
        <v>282</v>
      </c>
      <c r="D8" s="12">
        <v>371</v>
      </c>
      <c r="E8" s="12">
        <v>299</v>
      </c>
      <c r="F8" s="12">
        <v>2632</v>
      </c>
      <c r="G8" s="12">
        <v>2515</v>
      </c>
      <c r="H8" s="12">
        <v>2523</v>
      </c>
      <c r="I8" s="16">
        <f>AVERAGE(F8:H8)*1000/47400</f>
      </c>
      <c r="J8" s="6" t="s">
        <v>12</v>
      </c>
      <c r="K8" s="30">
        <v>1</v>
      </c>
      <c r="L8" s="17">
        <v>5228.213820078227</v>
      </c>
      <c r="M8" s="17">
        <v>6878.252933507171</v>
      </c>
      <c r="N8" s="17">
        <v>5543.389830508475</v>
      </c>
      <c r="O8" s="6"/>
      <c r="P8" s="6"/>
      <c r="Q8" s="6"/>
      <c r="R8" s="6"/>
      <c r="S8" s="6"/>
      <c r="T8" s="6"/>
      <c r="U8" s="6"/>
      <c r="V8" s="6"/>
      <c r="W8" s="6"/>
      <c r="X8" s="18"/>
      <c r="Y8" s="6"/>
      <c r="Z8" s="6"/>
      <c r="AA8" s="18"/>
      <c r="AB8" s="6"/>
      <c r="AC8" s="6"/>
      <c r="AD8" s="18"/>
      <c r="AE8" s="6"/>
      <c r="AF8" s="6"/>
      <c r="AG8" s="18"/>
      <c r="AH8" s="6"/>
      <c r="AI8" s="6"/>
      <c r="AJ8" s="18"/>
      <c r="AK8" s="6"/>
      <c r="AL8" s="6"/>
      <c r="AM8" s="18"/>
      <c r="AN8" s="6"/>
      <c r="AO8" s="6"/>
      <c r="AP8" s="6"/>
      <c r="AQ8" s="6"/>
      <c r="AR8" s="18"/>
      <c r="AS8" s="6"/>
      <c r="AT8" s="6"/>
      <c r="AU8" s="6"/>
      <c r="AV8" s="6"/>
      <c r="AW8" s="18"/>
      <c r="AX8" s="6"/>
      <c r="AY8" s="6"/>
      <c r="AZ8" s="6"/>
      <c r="BA8" s="6"/>
      <c r="BB8" s="18"/>
      <c r="BC8" s="6"/>
      <c r="BD8" s="6"/>
      <c r="BE8" s="6"/>
      <c r="BF8" s="6"/>
      <c r="BG8" s="18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36"/>
      <c r="CO8" s="6"/>
      <c r="CP8" s="6"/>
      <c r="CQ8" s="6"/>
      <c r="CR8" s="6"/>
      <c r="CS8" s="36"/>
    </row>
    <row x14ac:dyDescent="0.25" r="9" customHeight="1" ht="18">
      <c r="A9" s="14">
        <v>2</v>
      </c>
      <c r="B9" s="15">
        <v>45385.729166666664</v>
      </c>
      <c r="C9" s="12">
        <v>31943</v>
      </c>
      <c r="D9" s="12">
        <v>22635</v>
      </c>
      <c r="E9" s="12">
        <v>24920</v>
      </c>
      <c r="F9" s="12">
        <v>2465</v>
      </c>
      <c r="G9" s="12">
        <v>2489</v>
      </c>
      <c r="H9" s="12">
        <v>2469</v>
      </c>
      <c r="I9" s="16">
        <f>AVERAGE(F9:H9)*1000/47400</f>
      </c>
      <c r="J9" s="6" t="s">
        <v>12</v>
      </c>
      <c r="K9" s="30">
        <v>2</v>
      </c>
      <c r="L9" s="17">
        <v>1233640.5764966742</v>
      </c>
      <c r="M9" s="17">
        <v>874165.0580409548</v>
      </c>
      <c r="N9" s="17">
        <v>962411.8951349942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36"/>
      <c r="CO9" s="6"/>
      <c r="CP9" s="6"/>
      <c r="CQ9" s="6"/>
      <c r="CR9" s="6"/>
      <c r="CS9" s="36"/>
    </row>
    <row x14ac:dyDescent="0.25" r="10" customHeight="1" ht="18">
      <c r="A10" s="9"/>
      <c r="B10" s="15">
        <v>45386.395833333336</v>
      </c>
      <c r="C10" s="12">
        <v>9279</v>
      </c>
      <c r="D10" s="12">
        <v>7017</v>
      </c>
      <c r="E10" s="12">
        <v>7421</v>
      </c>
      <c r="F10" s="12">
        <v>2485</v>
      </c>
      <c r="G10" s="12">
        <v>2609</v>
      </c>
      <c r="H10" s="12">
        <v>2573</v>
      </c>
      <c r="I10" s="16">
        <f>AVERAGE(F10:H10)*1000/47400</f>
      </c>
      <c r="J10" s="6" t="s">
        <v>12</v>
      </c>
      <c r="K10" s="30">
        <v>5</v>
      </c>
      <c r="L10" s="17">
        <v>895888.8417894875</v>
      </c>
      <c r="M10" s="17">
        <v>677492.402504239</v>
      </c>
      <c r="N10" s="17">
        <v>716498.6631016043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36"/>
      <c r="CO10" s="6"/>
      <c r="CP10" s="6"/>
      <c r="CQ10" s="6"/>
      <c r="CR10" s="6"/>
      <c r="CS10" s="36"/>
    </row>
    <row x14ac:dyDescent="0.25" r="11" customHeight="1" ht="18">
      <c r="A11" s="9"/>
      <c r="B11" s="15">
        <v>45387.395833333336</v>
      </c>
      <c r="C11" s="12">
        <v>2136</v>
      </c>
      <c r="D11" s="12">
        <v>1661</v>
      </c>
      <c r="E11" s="12">
        <v>1548</v>
      </c>
      <c r="F11" s="12">
        <v>2367</v>
      </c>
      <c r="G11" s="12">
        <v>2336</v>
      </c>
      <c r="H11" s="12">
        <v>2224</v>
      </c>
      <c r="I11" s="16">
        <f>AVERAGE(F11:H11)*1000/47400</f>
      </c>
      <c r="J11" s="6" t="s">
        <v>12</v>
      </c>
      <c r="K11" s="30">
        <v>15</v>
      </c>
      <c r="L11" s="17">
        <v>684787.353832828</v>
      </c>
      <c r="M11" s="17">
        <v>532505.5218709398</v>
      </c>
      <c r="N11" s="17">
        <v>496278.4755305327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36"/>
      <c r="CO11" s="6"/>
      <c r="CP11" s="6"/>
      <c r="CQ11" s="6"/>
      <c r="CR11" s="6"/>
      <c r="CS11" s="36"/>
    </row>
    <row x14ac:dyDescent="0.25" r="12" customHeight="1" ht="18">
      <c r="A12" s="9"/>
      <c r="B12" s="15">
        <v>45390.395833333336</v>
      </c>
      <c r="C12" s="12">
        <v>71</v>
      </c>
      <c r="D12" s="12">
        <v>108</v>
      </c>
      <c r="E12" s="12">
        <v>137</v>
      </c>
      <c r="F12" s="12">
        <v>2506</v>
      </c>
      <c r="G12" s="12">
        <v>2540</v>
      </c>
      <c r="H12" s="12">
        <v>2498</v>
      </c>
      <c r="I12" s="16">
        <f>AVERAGE(F12:H12)*1000/47400</f>
      </c>
      <c r="J12" s="6" t="s">
        <v>12</v>
      </c>
      <c r="K12" s="30">
        <v>1</v>
      </c>
      <c r="L12" s="17">
        <v>1393.3655885471899</v>
      </c>
      <c r="M12" s="17">
        <v>2119.4856839872746</v>
      </c>
      <c r="N12" s="17">
        <v>2688.6068398727466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36"/>
      <c r="CO12" s="6"/>
      <c r="CP12" s="6"/>
      <c r="CQ12" s="6"/>
      <c r="CR12" s="6"/>
      <c r="CS12" s="36"/>
    </row>
    <row x14ac:dyDescent="0.25" r="13" customHeight="1" ht="18">
      <c r="A13" s="7"/>
      <c r="B13" s="15"/>
      <c r="C13" s="7"/>
      <c r="D13" s="7"/>
      <c r="E13" s="7"/>
      <c r="F13" s="7"/>
      <c r="G13" s="7"/>
      <c r="H13" s="7"/>
      <c r="I13" s="13"/>
      <c r="J13" s="6"/>
      <c r="K13" s="8"/>
      <c r="L13" s="17"/>
      <c r="M13" s="17"/>
      <c r="N13" s="17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36"/>
      <c r="CO13" s="6"/>
      <c r="CP13" s="6"/>
      <c r="CQ13" s="6"/>
      <c r="CR13" s="6"/>
      <c r="CS13" s="36"/>
    </row>
    <row x14ac:dyDescent="0.25" r="14" customHeight="1" ht="18">
      <c r="A14" s="7"/>
      <c r="B14" s="15"/>
      <c r="C14" s="7"/>
      <c r="D14" s="7"/>
      <c r="E14" s="7"/>
      <c r="F14" s="7"/>
      <c r="G14" s="7"/>
      <c r="H14" s="7"/>
      <c r="I14" s="13"/>
      <c r="J14" s="6"/>
      <c r="K14" s="8"/>
      <c r="L14" s="17"/>
      <c r="M14" s="17"/>
      <c r="N14" s="17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x14ac:dyDescent="0.25" r="15" customHeight="1" ht="18">
      <c r="A15" s="7"/>
      <c r="B15" s="15"/>
      <c r="C15" s="7"/>
      <c r="D15" s="7"/>
      <c r="E15" s="7"/>
      <c r="F15" s="7"/>
      <c r="G15" s="7"/>
      <c r="H15" s="7"/>
      <c r="I15" s="13"/>
      <c r="J15" s="6"/>
      <c r="K15" s="8"/>
      <c r="L15" s="17"/>
      <c r="M15" s="17"/>
      <c r="N15" s="17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x14ac:dyDescent="0.25" r="16" customHeight="1" ht="18">
      <c r="A16" s="7"/>
      <c r="B16" s="15"/>
      <c r="C16" s="7"/>
      <c r="D16" s="7"/>
      <c r="E16" s="7"/>
      <c r="F16" s="7"/>
      <c r="G16" s="7"/>
      <c r="H16" s="7"/>
      <c r="I16" s="13"/>
      <c r="J16" s="6"/>
      <c r="K16" s="8"/>
      <c r="L16" s="17"/>
      <c r="M16" s="17"/>
      <c r="N16" s="17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x14ac:dyDescent="0.25" r="17" customHeight="1" ht="18">
      <c r="A17" s="7"/>
      <c r="B17" s="15"/>
      <c r="C17" s="7"/>
      <c r="D17" s="7"/>
      <c r="E17" s="7"/>
      <c r="F17" s="7"/>
      <c r="G17" s="7"/>
      <c r="H17" s="7"/>
      <c r="I17" s="13"/>
      <c r="J17" s="6"/>
      <c r="K17" s="8"/>
      <c r="L17" s="17"/>
      <c r="M17" s="17"/>
      <c r="N17" s="17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x14ac:dyDescent="0.25" r="18" customHeight="1" ht="18">
      <c r="A18" s="7"/>
      <c r="B18" s="15"/>
      <c r="C18" s="7"/>
      <c r="D18" s="7"/>
      <c r="E18" s="7"/>
      <c r="F18" s="7"/>
      <c r="G18" s="7"/>
      <c r="H18" s="7"/>
      <c r="I18" s="13"/>
      <c r="J18" s="6"/>
      <c r="K18" s="8"/>
      <c r="L18" s="17"/>
      <c r="M18" s="17"/>
      <c r="N18" s="17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x14ac:dyDescent="0.25" r="19" customHeight="1" ht="18">
      <c r="A19" s="7"/>
      <c r="B19" s="15"/>
      <c r="C19" s="7"/>
      <c r="D19" s="7"/>
      <c r="E19" s="7"/>
      <c r="F19" s="7"/>
      <c r="G19" s="7"/>
      <c r="H19" s="7"/>
      <c r="I19" s="13"/>
      <c r="J19" s="6"/>
      <c r="K19" s="8"/>
      <c r="L19" s="17"/>
      <c r="M19" s="17"/>
      <c r="N19" s="1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x14ac:dyDescent="0.25" r="20" customHeight="1" ht="18">
      <c r="A20" s="7"/>
      <c r="B20" s="15"/>
      <c r="C20" s="7"/>
      <c r="D20" s="7"/>
      <c r="E20" s="7"/>
      <c r="F20" s="7"/>
      <c r="G20" s="7"/>
      <c r="H20" s="7"/>
      <c r="I20" s="13"/>
      <c r="J20" s="6"/>
      <c r="K20" s="8"/>
      <c r="L20" s="17"/>
      <c r="M20" s="17"/>
      <c r="N20" s="1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x14ac:dyDescent="0.25" r="21" customHeight="1" ht="18">
      <c r="A21" s="7"/>
      <c r="B21" s="15"/>
      <c r="C21" s="7"/>
      <c r="D21" s="7"/>
      <c r="E21" s="7"/>
      <c r="F21" s="7"/>
      <c r="G21" s="7"/>
      <c r="H21" s="7"/>
      <c r="I21" s="13"/>
      <c r="J21" s="6"/>
      <c r="K21" s="8"/>
      <c r="L21" s="17"/>
      <c r="M21" s="17"/>
      <c r="N21" s="1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x14ac:dyDescent="0.25" r="22" customHeight="1" ht="18">
      <c r="A22" s="7"/>
      <c r="B22" s="15"/>
      <c r="C22" s="7"/>
      <c r="D22" s="7"/>
      <c r="E22" s="7"/>
      <c r="F22" s="7"/>
      <c r="G22" s="7"/>
      <c r="H22" s="7"/>
      <c r="I22" s="13"/>
      <c r="J22" s="6"/>
      <c r="K22" s="8"/>
      <c r="L22" s="17"/>
      <c r="M22" s="17"/>
      <c r="N22" s="1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x14ac:dyDescent="0.25" r="23" customHeight="1" ht="18">
      <c r="A23" s="7"/>
      <c r="B23" s="15"/>
      <c r="C23" s="7"/>
      <c r="D23" s="7"/>
      <c r="E23" s="7"/>
      <c r="F23" s="7"/>
      <c r="G23" s="7"/>
      <c r="H23" s="7"/>
      <c r="I23" s="13"/>
      <c r="J23" s="6"/>
      <c r="K23" s="8"/>
      <c r="L23" s="17"/>
      <c r="M23" s="17"/>
      <c r="N23" s="1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x14ac:dyDescent="0.25" r="24" customHeight="1" ht="18">
      <c r="A24" s="7"/>
      <c r="B24" s="15"/>
      <c r="C24" s="7"/>
      <c r="D24" s="7"/>
      <c r="E24" s="7"/>
      <c r="F24" s="7"/>
      <c r="G24" s="7"/>
      <c r="H24" s="7"/>
      <c r="I24" s="13"/>
      <c r="J24" s="6"/>
      <c r="K24" s="8"/>
      <c r="L24" s="17"/>
      <c r="M24" s="17"/>
      <c r="N24" s="1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x14ac:dyDescent="0.25" r="25" customHeight="1" ht="18">
      <c r="A25" s="7"/>
      <c r="B25" s="15"/>
      <c r="C25" s="7"/>
      <c r="D25" s="7"/>
      <c r="E25" s="7"/>
      <c r="F25" s="7"/>
      <c r="G25" s="7"/>
      <c r="H25" s="7"/>
      <c r="I25" s="13"/>
      <c r="J25" s="6"/>
      <c r="K25" s="8"/>
      <c r="L25" s="17"/>
      <c r="M25" s="17"/>
      <c r="N25" s="1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x14ac:dyDescent="0.25" r="26" customHeight="1" ht="18">
      <c r="A26" s="7"/>
      <c r="B26" s="15"/>
      <c r="C26" s="7"/>
      <c r="D26" s="7"/>
      <c r="E26" s="7"/>
      <c r="F26" s="7"/>
      <c r="G26" s="7"/>
      <c r="H26" s="7"/>
      <c r="I26" s="13"/>
      <c r="J26" s="6"/>
      <c r="K26" s="8"/>
      <c r="L26" s="17"/>
      <c r="M26" s="17"/>
      <c r="N26" s="1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x14ac:dyDescent="0.25" r="27" customHeight="1" ht="18">
      <c r="A27" s="7"/>
      <c r="B27" s="15"/>
      <c r="C27" s="7"/>
      <c r="D27" s="7"/>
      <c r="E27" s="7"/>
      <c r="F27" s="7"/>
      <c r="G27" s="7"/>
      <c r="H27" s="7"/>
      <c r="I27" s="13"/>
      <c r="J27" s="6"/>
      <c r="K27" s="8"/>
      <c r="L27" s="17"/>
      <c r="M27" s="17"/>
      <c r="N27" s="1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x14ac:dyDescent="0.25" r="28" customHeight="1" ht="18">
      <c r="A28" s="7"/>
      <c r="B28" s="15"/>
      <c r="C28" s="7"/>
      <c r="D28" s="7"/>
      <c r="E28" s="7"/>
      <c r="F28" s="7"/>
      <c r="G28" s="7"/>
      <c r="H28" s="7"/>
      <c r="I28" s="13"/>
      <c r="J28" s="6"/>
      <c r="K28" s="8"/>
      <c r="L28" s="17"/>
      <c r="M28" s="17"/>
      <c r="N28" s="1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x14ac:dyDescent="0.25" r="29" customHeight="1" ht="18">
      <c r="A29" s="7"/>
      <c r="B29" s="15"/>
      <c r="C29" s="7"/>
      <c r="D29" s="7"/>
      <c r="E29" s="7"/>
      <c r="F29" s="7"/>
      <c r="G29" s="7"/>
      <c r="H29" s="7"/>
      <c r="I29" s="13"/>
      <c r="J29" s="6"/>
      <c r="K29" s="8"/>
      <c r="L29" s="17"/>
      <c r="M29" s="17"/>
      <c r="N29" s="17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x14ac:dyDescent="0.25" r="30" customHeight="1" ht="18">
      <c r="A30" s="7"/>
      <c r="B30" s="15"/>
      <c r="C30" s="7"/>
      <c r="D30" s="7"/>
      <c r="E30" s="7"/>
      <c r="F30" s="7"/>
      <c r="G30" s="7"/>
      <c r="H30" s="7"/>
      <c r="I30" s="13"/>
      <c r="J30" s="6"/>
      <c r="K30" s="8"/>
      <c r="L30" s="17"/>
      <c r="M30" s="17"/>
      <c r="N30" s="17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x14ac:dyDescent="0.25" r="31" customHeight="1" ht="18">
      <c r="A31" s="7"/>
      <c r="B31" s="15"/>
      <c r="C31" s="7"/>
      <c r="D31" s="7"/>
      <c r="E31" s="7"/>
      <c r="F31" s="7"/>
      <c r="G31" s="7"/>
      <c r="H31" s="7"/>
      <c r="I31" s="13"/>
      <c r="J31" s="6"/>
      <c r="K31" s="8"/>
      <c r="L31" s="17"/>
      <c r="M31" s="17"/>
      <c r="N31" s="17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x14ac:dyDescent="0.25" r="32" customHeight="1" ht="18">
      <c r="A32" s="7"/>
      <c r="B32" s="15"/>
      <c r="C32" s="7"/>
      <c r="D32" s="7"/>
      <c r="E32" s="7"/>
      <c r="F32" s="7"/>
      <c r="G32" s="7"/>
      <c r="H32" s="7"/>
      <c r="I32" s="13"/>
      <c r="J32" s="6"/>
      <c r="K32" s="8"/>
      <c r="L32" s="17"/>
      <c r="M32" s="17"/>
      <c r="N32" s="17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x14ac:dyDescent="0.25" r="33" customHeight="1" ht="18">
      <c r="A33" s="7"/>
      <c r="B33" s="15"/>
      <c r="C33" s="7"/>
      <c r="D33" s="7"/>
      <c r="E33" s="7"/>
      <c r="F33" s="7"/>
      <c r="G33" s="7"/>
      <c r="H33" s="7"/>
      <c r="I33" s="13"/>
      <c r="J33" s="6"/>
      <c r="K33" s="8"/>
      <c r="L33" s="17"/>
      <c r="M33" s="17"/>
      <c r="N33" s="17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x14ac:dyDescent="0.25" r="34" customHeight="1" ht="18">
      <c r="A34" s="7"/>
      <c r="B34" s="15"/>
      <c r="C34" s="7"/>
      <c r="D34" s="7"/>
      <c r="E34" s="7"/>
      <c r="F34" s="7"/>
      <c r="G34" s="7"/>
      <c r="H34" s="7"/>
      <c r="I34" s="13"/>
      <c r="J34" s="6"/>
      <c r="K34" s="8"/>
      <c r="L34" s="17"/>
      <c r="M34" s="17"/>
      <c r="N34" s="17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x14ac:dyDescent="0.25" r="35" customHeight="1" ht="18">
      <c r="A35" s="7"/>
      <c r="B35" s="15"/>
      <c r="C35" s="7"/>
      <c r="D35" s="7"/>
      <c r="E35" s="7"/>
      <c r="F35" s="7"/>
      <c r="G35" s="7"/>
      <c r="H35" s="7"/>
      <c r="I35" s="13"/>
      <c r="J35" s="6"/>
      <c r="K35" s="8"/>
      <c r="L35" s="17"/>
      <c r="M35" s="17"/>
      <c r="N35" s="17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x14ac:dyDescent="0.25" r="36" customHeight="1" ht="18">
      <c r="A36" s="7"/>
      <c r="B36" s="15"/>
      <c r="C36" s="7"/>
      <c r="D36" s="7"/>
      <c r="E36" s="7"/>
      <c r="F36" s="7"/>
      <c r="G36" s="7"/>
      <c r="H36" s="7"/>
      <c r="I36" s="13"/>
      <c r="J36" s="6"/>
      <c r="K36" s="8"/>
      <c r="L36" s="17"/>
      <c r="M36" s="17"/>
      <c r="N36" s="17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x14ac:dyDescent="0.25" r="37" customHeight="1" ht="18">
      <c r="A37" s="7"/>
      <c r="B37" s="15"/>
      <c r="C37" s="7"/>
      <c r="D37" s="7"/>
      <c r="E37" s="7"/>
      <c r="F37" s="7"/>
      <c r="G37" s="7"/>
      <c r="H37" s="7"/>
      <c r="I37" s="13"/>
      <c r="J37" s="6"/>
      <c r="K37" s="8"/>
      <c r="L37" s="17"/>
      <c r="M37" s="17"/>
      <c r="N37" s="17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x14ac:dyDescent="0.25" r="38" customHeight="1" ht="18">
      <c r="A38" s="7"/>
      <c r="B38" s="15"/>
      <c r="C38" s="7"/>
      <c r="D38" s="7"/>
      <c r="E38" s="7"/>
      <c r="F38" s="7"/>
      <c r="G38" s="7"/>
      <c r="H38" s="7"/>
      <c r="I38" s="13"/>
      <c r="J38" s="6"/>
      <c r="K38" s="8"/>
      <c r="L38" s="17"/>
      <c r="M38" s="17"/>
      <c r="N38" s="17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x14ac:dyDescent="0.25" r="39" customHeight="1" ht="18">
      <c r="A39" s="7"/>
      <c r="B39" s="15"/>
      <c r="C39" s="7"/>
      <c r="D39" s="7"/>
      <c r="E39" s="7"/>
      <c r="F39" s="7"/>
      <c r="G39" s="7"/>
      <c r="H39" s="7"/>
      <c r="I39" s="13"/>
      <c r="J39" s="6"/>
      <c r="K39" s="8"/>
      <c r="L39" s="17"/>
      <c r="M39" s="17"/>
      <c r="N39" s="17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x14ac:dyDescent="0.25" r="40" customHeight="1" ht="18">
      <c r="A40" s="7"/>
      <c r="B40" s="15"/>
      <c r="C40" s="7"/>
      <c r="D40" s="7"/>
      <c r="E40" s="7"/>
      <c r="F40" s="7"/>
      <c r="G40" s="7"/>
      <c r="H40" s="7"/>
      <c r="I40" s="13"/>
      <c r="J40" s="6"/>
      <c r="K40" s="8"/>
      <c r="L40" s="17"/>
      <c r="M40" s="17"/>
      <c r="N40" s="17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x14ac:dyDescent="0.25" r="41" customHeight="1" ht="18">
      <c r="A41" s="7"/>
      <c r="B41" s="15"/>
      <c r="C41" s="7"/>
      <c r="D41" s="7"/>
      <c r="E41" s="7"/>
      <c r="F41" s="7"/>
      <c r="G41" s="7"/>
      <c r="H41" s="7"/>
      <c r="I41" s="13"/>
      <c r="J41" s="6"/>
      <c r="K41" s="8"/>
      <c r="L41" s="17"/>
      <c r="M41" s="17"/>
      <c r="N41" s="17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x14ac:dyDescent="0.25" r="42" customHeight="1" ht="18">
      <c r="A42" s="7"/>
      <c r="B42" s="15"/>
      <c r="C42" s="7"/>
      <c r="D42" s="7"/>
      <c r="E42" s="7"/>
      <c r="F42" s="7"/>
      <c r="G42" s="7"/>
      <c r="H42" s="7"/>
      <c r="I42" s="13"/>
      <c r="J42" s="6"/>
      <c r="K42" s="8"/>
      <c r="L42" s="17"/>
      <c r="M42" s="17"/>
      <c r="N42" s="17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x14ac:dyDescent="0.25" r="43" customHeight="1" ht="18">
      <c r="A43" s="7"/>
      <c r="B43" s="15"/>
      <c r="C43" s="7"/>
      <c r="D43" s="7"/>
      <c r="E43" s="7"/>
      <c r="F43" s="7"/>
      <c r="G43" s="7"/>
      <c r="H43" s="7"/>
      <c r="I43" s="13"/>
      <c r="J43" s="6"/>
      <c r="K43" s="8"/>
      <c r="L43" s="17"/>
      <c r="M43" s="17"/>
      <c r="N43" s="17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x14ac:dyDescent="0.25" r="44" customHeight="1" ht="18">
      <c r="A44" s="15"/>
      <c r="B44" s="8"/>
      <c r="C44" s="7"/>
      <c r="D44" s="7"/>
      <c r="E44" s="7"/>
      <c r="F44" s="7"/>
      <c r="G44" s="7"/>
      <c r="H44" s="7"/>
      <c r="I44" s="13"/>
      <c r="J44" s="6"/>
      <c r="K44" s="17"/>
      <c r="L44" s="17"/>
      <c r="M44" s="17"/>
      <c r="N44" s="11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x14ac:dyDescent="0.25" r="45" customHeight="1" ht="18">
      <c r="A45" s="15"/>
      <c r="B45" s="8"/>
      <c r="C45" s="7"/>
      <c r="D45" s="7"/>
      <c r="E45" s="7"/>
      <c r="F45" s="7"/>
      <c r="G45" s="7"/>
      <c r="H45" s="7"/>
      <c r="I45" s="13"/>
      <c r="J45" s="6"/>
      <c r="K45" s="17"/>
      <c r="L45" s="17"/>
      <c r="M45" s="17"/>
      <c r="N45" s="11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x14ac:dyDescent="0.25" r="46" customHeight="1" ht="18">
      <c r="A46" s="15"/>
      <c r="B46" s="8"/>
      <c r="C46" s="7"/>
      <c r="D46" s="7"/>
      <c r="E46" s="7"/>
      <c r="F46" s="7"/>
      <c r="G46" s="7"/>
      <c r="H46" s="7"/>
      <c r="I46" s="13"/>
      <c r="J46" s="6"/>
      <c r="K46" s="17"/>
      <c r="L46" s="17"/>
      <c r="M46" s="17"/>
      <c r="N46" s="11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x14ac:dyDescent="0.25" r="47" customHeight="1" ht="18">
      <c r="A47" s="15"/>
      <c r="B47" s="8"/>
      <c r="C47" s="7"/>
      <c r="D47" s="7"/>
      <c r="E47" s="7"/>
      <c r="F47" s="7"/>
      <c r="G47" s="7"/>
      <c r="H47" s="7"/>
      <c r="I47" s="13"/>
      <c r="J47" s="6"/>
      <c r="K47" s="17"/>
      <c r="L47" s="17"/>
      <c r="M47" s="17"/>
      <c r="N47" s="11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x14ac:dyDescent="0.25" r="48" customHeight="1" ht="18">
      <c r="A48" s="15"/>
      <c r="B48" s="8"/>
      <c r="C48" s="7"/>
      <c r="D48" s="7"/>
      <c r="E48" s="7"/>
      <c r="F48" s="7"/>
      <c r="G48" s="7"/>
      <c r="H48" s="7"/>
      <c r="I48" s="13"/>
      <c r="J48" s="6"/>
      <c r="K48" s="17"/>
      <c r="L48" s="17"/>
      <c r="M48" s="17"/>
      <c r="N48" s="11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x14ac:dyDescent="0.25" r="49" customHeight="1" ht="18">
      <c r="A49" s="15"/>
      <c r="B49" s="8"/>
      <c r="C49" s="7"/>
      <c r="D49" s="7"/>
      <c r="E49" s="7"/>
      <c r="F49" s="7"/>
      <c r="G49" s="7"/>
      <c r="H49" s="7"/>
      <c r="I49" s="13"/>
      <c r="J49" s="6"/>
      <c r="K49" s="17"/>
      <c r="L49" s="17"/>
      <c r="M49" s="17"/>
      <c r="N49" s="11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x14ac:dyDescent="0.25" r="50" customHeight="1" ht="18">
      <c r="A50" s="15"/>
      <c r="B50" s="8"/>
      <c r="C50" s="7"/>
      <c r="D50" s="7"/>
      <c r="E50" s="7"/>
      <c r="F50" s="7"/>
      <c r="G50" s="7"/>
      <c r="H50" s="7"/>
      <c r="I50" s="13"/>
      <c r="J50" s="6"/>
      <c r="K50" s="17"/>
      <c r="L50" s="17"/>
      <c r="M50" s="17"/>
      <c r="N50" s="11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x14ac:dyDescent="0.25" r="51" customHeight="1" ht="18">
      <c r="A51" s="15"/>
      <c r="B51" s="8"/>
      <c r="C51" s="7"/>
      <c r="D51" s="7"/>
      <c r="E51" s="7"/>
      <c r="F51" s="7"/>
      <c r="G51" s="7"/>
      <c r="H51" s="7"/>
      <c r="I51" s="13"/>
      <c r="J51" s="6"/>
      <c r="K51" s="17"/>
      <c r="L51" s="17"/>
      <c r="M51" s="17"/>
      <c r="N51" s="11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x14ac:dyDescent="0.25" r="52" customHeight="1" ht="18">
      <c r="A52" s="15"/>
      <c r="B52" s="8"/>
      <c r="C52" s="7"/>
      <c r="D52" s="7"/>
      <c r="E52" s="7"/>
      <c r="F52" s="7"/>
      <c r="G52" s="7"/>
      <c r="H52" s="7"/>
      <c r="I52" s="13"/>
      <c r="J52" s="6"/>
      <c r="K52" s="17"/>
      <c r="L52" s="17"/>
      <c r="M52" s="17"/>
      <c r="N52" s="11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x14ac:dyDescent="0.25" r="53" customHeight="1" ht="18">
      <c r="A53" s="15"/>
      <c r="B53" s="8"/>
      <c r="C53" s="7"/>
      <c r="D53" s="7"/>
      <c r="E53" s="7"/>
      <c r="F53" s="7"/>
      <c r="G53" s="7"/>
      <c r="H53" s="7"/>
      <c r="I53" s="13"/>
      <c r="J53" s="6"/>
      <c r="K53" s="17"/>
      <c r="L53" s="17"/>
      <c r="M53" s="17"/>
      <c r="N53" s="11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x14ac:dyDescent="0.25" r="54" customHeight="1" ht="18">
      <c r="A54" s="15"/>
      <c r="B54" s="8"/>
      <c r="C54" s="7"/>
      <c r="D54" s="7"/>
      <c r="E54" s="7"/>
      <c r="F54" s="7"/>
      <c r="G54" s="7"/>
      <c r="H54" s="7"/>
      <c r="I54" s="13"/>
      <c r="J54" s="6"/>
      <c r="K54" s="8"/>
      <c r="L54" s="11"/>
      <c r="M54" s="11"/>
      <c r="N54" s="11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x14ac:dyDescent="0.25" r="55" customHeight="1" ht="18">
      <c r="A55" s="15"/>
      <c r="B55" s="8"/>
      <c r="C55" s="7"/>
      <c r="D55" s="7"/>
      <c r="E55" s="7"/>
      <c r="F55" s="7"/>
      <c r="G55" s="7"/>
      <c r="H55" s="7"/>
      <c r="I55" s="13"/>
      <c r="J55" s="6"/>
      <c r="K55" s="8"/>
      <c r="L55" s="11"/>
      <c r="M55" s="11"/>
      <c r="N55" s="11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x14ac:dyDescent="0.25" r="56" customHeight="1" ht="18">
      <c r="A56" s="15"/>
      <c r="B56" s="8"/>
      <c r="C56" s="7"/>
      <c r="D56" s="7"/>
      <c r="E56" s="7"/>
      <c r="F56" s="7"/>
      <c r="G56" s="7"/>
      <c r="H56" s="7"/>
      <c r="I56" s="13"/>
      <c r="J56" s="6"/>
      <c r="K56" s="8"/>
      <c r="L56" s="11"/>
      <c r="M56" s="11"/>
      <c r="N56" s="11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</sheetData>
  <mergeCells count="3">
    <mergeCell ref="A1:N1"/>
    <mergeCell ref="A4:A8"/>
    <mergeCell ref="A9:A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59"/>
  <sheetViews>
    <sheetView workbookViewId="0"/>
  </sheetViews>
  <sheetFormatPr defaultRowHeight="15" x14ac:dyDescent="0.25"/>
  <cols>
    <col min="1" max="1" style="20" width="18.005" customWidth="1" bestFit="1"/>
    <col min="2" max="2" style="21" width="22.14785714285714" customWidth="1" bestFit="1"/>
    <col min="3" max="3" style="20" width="13.005" customWidth="1" bestFit="1"/>
    <col min="4" max="4" style="20" width="13.005" customWidth="1" bestFit="1"/>
    <col min="5" max="5" style="20" width="13.005" customWidth="1" bestFit="1"/>
    <col min="6" max="6" style="20" width="13.005" customWidth="1" bestFit="1"/>
    <col min="7" max="7" style="20" width="13.005" customWidth="1" bestFit="1"/>
    <col min="8" max="8" style="20" width="13.005" customWidth="1" bestFit="1"/>
    <col min="9" max="9" style="22" width="18.862142857142857" customWidth="1" bestFit="1"/>
    <col min="10" max="10" style="23" width="13.005" customWidth="1" bestFit="1"/>
    <col min="11" max="11" style="21" width="13.005" customWidth="1" bestFit="1"/>
    <col min="12" max="12" style="24" width="13.005" customWidth="1" bestFit="1"/>
    <col min="13" max="13" style="24" width="13.005" customWidth="1" bestFit="1"/>
    <col min="14" max="14" style="24" width="13.005" customWidth="1" bestFit="1"/>
    <col min="15" max="15" style="23" width="13.005" customWidth="1" bestFit="1"/>
    <col min="16" max="16" style="23" width="13.005" customWidth="1" bestFit="1"/>
    <col min="17" max="17" style="23" width="13.005" customWidth="1" bestFit="1"/>
    <col min="18" max="18" style="23" width="13.005" customWidth="1" bestFit="1"/>
    <col min="19" max="19" style="23" width="13.005" customWidth="1" bestFit="1"/>
    <col min="20" max="20" style="23" width="13.005" customWidth="1" bestFit="1"/>
    <col min="21" max="21" style="23" width="13.005" customWidth="1" bestFit="1"/>
    <col min="22" max="22" style="23" width="13.005" customWidth="1" bestFit="1"/>
    <col min="23" max="23" style="23" width="13.005" customWidth="1" bestFit="1"/>
    <col min="24" max="24" style="23" width="13.005" customWidth="1" bestFit="1"/>
    <col min="25" max="25" style="23" width="13.005" customWidth="1" bestFit="1"/>
    <col min="26" max="26" style="23" width="13.005" customWidth="1" bestFit="1"/>
    <col min="27" max="27" style="23" width="13.005" customWidth="1" bestFit="1"/>
    <col min="28" max="28" style="23" width="13.005" customWidth="1" bestFit="1"/>
    <col min="29" max="29" style="23" width="13.005" customWidth="1" bestFit="1"/>
    <col min="30" max="30" style="23" width="13.005" customWidth="1" bestFit="1"/>
    <col min="31" max="31" style="23" width="13.005" customWidth="1" bestFit="1"/>
    <col min="32" max="32" style="23" width="13.005" customWidth="1" bestFit="1"/>
    <col min="33" max="33" style="23" width="13.005" customWidth="1" bestFit="1"/>
    <col min="34" max="34" style="23" width="13.005" customWidth="1" bestFit="1"/>
  </cols>
  <sheetData>
    <row x14ac:dyDescent="0.25" r="1" customHeight="1" ht="18">
      <c r="A1" s="25" t="s">
        <v>15</v>
      </c>
      <c r="B1" s="26"/>
      <c r="C1" s="25"/>
      <c r="D1" s="25"/>
      <c r="E1" s="25"/>
      <c r="F1" s="25"/>
      <c r="G1" s="25"/>
      <c r="H1" s="25"/>
      <c r="I1" s="27"/>
      <c r="J1" s="28"/>
      <c r="K1" s="26"/>
      <c r="L1" s="29"/>
      <c r="M1" s="29"/>
      <c r="N1" s="29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x14ac:dyDescent="0.25" r="2" customHeight="1" ht="18">
      <c r="A2" s="7" t="s">
        <v>1</v>
      </c>
      <c r="B2" s="8" t="s">
        <v>2</v>
      </c>
      <c r="C2" s="9" t="s">
        <v>3</v>
      </c>
      <c r="D2" s="9"/>
      <c r="E2" s="9"/>
      <c r="F2" s="9" t="s">
        <v>4</v>
      </c>
      <c r="G2" s="9"/>
      <c r="H2" s="9"/>
      <c r="I2" s="10"/>
      <c r="J2" s="6" t="s">
        <v>5</v>
      </c>
      <c r="K2" s="8" t="s">
        <v>6</v>
      </c>
      <c r="L2" s="11" t="s">
        <v>7</v>
      </c>
      <c r="M2" s="11"/>
      <c r="N2" s="1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x14ac:dyDescent="0.25" r="3" customHeight="1" ht="18">
      <c r="A3" s="7"/>
      <c r="B3" s="8"/>
      <c r="C3" s="7" t="s">
        <v>8</v>
      </c>
      <c r="D3" s="7" t="s">
        <v>9</v>
      </c>
      <c r="E3" s="7" t="s">
        <v>10</v>
      </c>
      <c r="F3" s="12">
        <v>1</v>
      </c>
      <c r="G3" s="12">
        <v>2</v>
      </c>
      <c r="H3" s="12">
        <v>3</v>
      </c>
      <c r="I3" s="13" t="s">
        <v>11</v>
      </c>
      <c r="J3" s="6"/>
      <c r="K3" s="8"/>
      <c r="L3" s="11" t="s">
        <v>8</v>
      </c>
      <c r="M3" s="11" t="s">
        <v>9</v>
      </c>
      <c r="N3" s="11" t="s">
        <v>10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x14ac:dyDescent="0.25" r="4" customHeight="1" ht="18">
      <c r="A4" s="14">
        <v>1</v>
      </c>
      <c r="B4" s="15">
        <v>45341.625</v>
      </c>
      <c r="C4" s="12">
        <v>50692</v>
      </c>
      <c r="D4" s="12">
        <v>56005</v>
      </c>
      <c r="E4" s="12">
        <v>52092</v>
      </c>
      <c r="F4" s="12">
        <v>2227</v>
      </c>
      <c r="G4" s="12">
        <v>2388</v>
      </c>
      <c r="H4" s="12">
        <v>2329</v>
      </c>
      <c r="I4" s="16">
        <f>AVERAGE(F4:H4)*1000/47400</f>
      </c>
      <c r="J4" s="6" t="s">
        <v>12</v>
      </c>
      <c r="K4" s="30">
        <v>1</v>
      </c>
      <c r="L4" s="17">
        <v>1038076.3824884793</v>
      </c>
      <c r="M4" s="17">
        <v>1146876.5841013826</v>
      </c>
      <c r="N4" s="17">
        <v>1066745.737327189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x14ac:dyDescent="0.25" r="5" customHeight="1" ht="18">
      <c r="A5" s="9"/>
      <c r="B5" s="15">
        <v>45342.395833333336</v>
      </c>
      <c r="C5" s="12">
        <v>34585</v>
      </c>
      <c r="D5" s="12">
        <v>42116</v>
      </c>
      <c r="E5" s="12">
        <v>38526</v>
      </c>
      <c r="F5" s="12">
        <v>1271</v>
      </c>
      <c r="G5" s="12">
        <v>1293</v>
      </c>
      <c r="H5" s="12">
        <v>1315</v>
      </c>
      <c r="I5" s="16">
        <f>AVERAGE(F5:H5)*1000/47400</f>
      </c>
      <c r="J5" s="6" t="s">
        <v>13</v>
      </c>
      <c r="K5" s="30">
        <v>1</v>
      </c>
      <c r="L5" s="17">
        <v>1267849.1879350347</v>
      </c>
      <c r="M5" s="17">
        <v>1543927.6102088166</v>
      </c>
      <c r="N5" s="17">
        <v>1412322.041763341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x14ac:dyDescent="0.25" r="6" customHeight="1" ht="18">
      <c r="A6" s="9"/>
      <c r="B6" s="15">
        <v>45343.395833333336</v>
      </c>
      <c r="C6" s="12">
        <v>9745</v>
      </c>
      <c r="D6" s="12">
        <v>10088</v>
      </c>
      <c r="E6" s="12">
        <v>8998</v>
      </c>
      <c r="F6" s="12">
        <v>2458</v>
      </c>
      <c r="G6" s="12">
        <v>2448</v>
      </c>
      <c r="H6" s="12">
        <v>2527</v>
      </c>
      <c r="I6" s="16">
        <f>AVERAGE(F6:H6)*1000/47400</f>
      </c>
      <c r="J6" s="6" t="s">
        <v>12</v>
      </c>
      <c r="K6" s="30">
        <v>10</v>
      </c>
      <c r="L6" s="17">
        <v>1864306.4711422038</v>
      </c>
      <c r="M6" s="17">
        <v>1929925.4675097538</v>
      </c>
      <c r="N6" s="17">
        <v>1721398.6277411543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x14ac:dyDescent="0.25" r="7" customHeight="1" ht="18">
      <c r="A7" s="9"/>
      <c r="B7" s="15">
        <v>45344.395833333336</v>
      </c>
      <c r="C7" s="12">
        <v>8175</v>
      </c>
      <c r="D7" s="12">
        <v>10052</v>
      </c>
      <c r="E7" s="12">
        <v>7144</v>
      </c>
      <c r="F7" s="12">
        <v>2632</v>
      </c>
      <c r="G7" s="12">
        <v>2515</v>
      </c>
      <c r="H7" s="12">
        <v>2523</v>
      </c>
      <c r="I7" s="16">
        <f>AVERAGE(F7:H7)*1000/47400</f>
      </c>
      <c r="J7" s="6" t="s">
        <v>12</v>
      </c>
      <c r="K7" s="30">
        <v>10</v>
      </c>
      <c r="L7" s="17">
        <v>1515625.8148631032</v>
      </c>
      <c r="M7" s="17">
        <v>1863617.2099087355</v>
      </c>
      <c r="N7" s="17">
        <v>1324480.8344198177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x14ac:dyDescent="0.25" r="8" customHeight="1" ht="18">
      <c r="A8" s="9"/>
      <c r="B8" s="15">
        <v>45345.395833333336</v>
      </c>
      <c r="C8" s="12">
        <v>14710</v>
      </c>
      <c r="D8" s="12">
        <v>8859</v>
      </c>
      <c r="E8" s="12">
        <v>11278</v>
      </c>
      <c r="F8" s="12">
        <v>2632</v>
      </c>
      <c r="G8" s="12">
        <v>2515</v>
      </c>
      <c r="H8" s="12">
        <v>2523</v>
      </c>
      <c r="I8" s="16">
        <f>AVERAGE(F8:H8)*1000/47400</f>
      </c>
      <c r="J8" s="6" t="s">
        <v>12</v>
      </c>
      <c r="K8" s="30">
        <v>1.0000000000000002</v>
      </c>
      <c r="L8" s="17">
        <v>272719.94784876145</v>
      </c>
      <c r="M8" s="17">
        <v>164243.78096479792</v>
      </c>
      <c r="N8" s="17">
        <v>209091.47327249023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x14ac:dyDescent="0.25" r="9" customHeight="1" ht="18">
      <c r="A9" s="14">
        <v>2</v>
      </c>
      <c r="B9" s="15">
        <v>45350.75</v>
      </c>
      <c r="C9" s="12">
        <v>67987</v>
      </c>
      <c r="D9" s="12">
        <v>68904</v>
      </c>
      <c r="E9" s="12">
        <v>60397</v>
      </c>
      <c r="F9" s="12">
        <v>2599</v>
      </c>
      <c r="G9" s="12">
        <v>2587</v>
      </c>
      <c r="H9" s="12">
        <v>2639</v>
      </c>
      <c r="I9" s="16">
        <f>AVERAGE(F9:H9)*1000/47400</f>
      </c>
      <c r="J9" s="6" t="s">
        <v>12</v>
      </c>
      <c r="K9" s="30">
        <v>1</v>
      </c>
      <c r="L9" s="17">
        <v>1235495.3865814696</v>
      </c>
      <c r="M9" s="17">
        <v>1252159.591054313</v>
      </c>
      <c r="N9" s="17">
        <v>1097565.92971246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x14ac:dyDescent="0.25" r="10" customHeight="1" ht="18">
      <c r="A10" s="9"/>
      <c r="B10" s="15">
        <v>45351.395833333336</v>
      </c>
      <c r="C10" s="12">
        <v>40228</v>
      </c>
      <c r="D10" s="12">
        <v>46280</v>
      </c>
      <c r="E10" s="12">
        <v>41778</v>
      </c>
      <c r="F10" s="12">
        <v>2647</v>
      </c>
      <c r="G10" s="12">
        <v>2666</v>
      </c>
      <c r="H10" s="12">
        <v>2565</v>
      </c>
      <c r="I10" s="16">
        <f>AVERAGE(F10:H10)*1000/47400</f>
      </c>
      <c r="J10" s="6" t="s">
        <v>12</v>
      </c>
      <c r="K10" s="30">
        <v>2</v>
      </c>
      <c r="L10" s="17">
        <v>1452252.2467631379</v>
      </c>
      <c r="M10" s="17">
        <v>1670732.6732673268</v>
      </c>
      <c r="N10" s="17">
        <v>1508208.0731150038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x14ac:dyDescent="0.25" r="11" customHeight="1" ht="18">
      <c r="A11" s="9"/>
      <c r="B11" s="15">
        <v>45352.395833333336</v>
      </c>
      <c r="C11" s="12">
        <v>22424</v>
      </c>
      <c r="D11" s="12">
        <v>25069</v>
      </c>
      <c r="E11" s="12">
        <v>21656</v>
      </c>
      <c r="F11" s="12">
        <v>2474</v>
      </c>
      <c r="G11" s="12">
        <v>2453</v>
      </c>
      <c r="H11" s="12">
        <v>2516</v>
      </c>
      <c r="I11" s="16">
        <f>AVERAGE(F11:H11)*1000/47400</f>
      </c>
      <c r="J11" s="6" t="s">
        <v>12</v>
      </c>
      <c r="K11" s="30">
        <v>5</v>
      </c>
      <c r="L11" s="17">
        <v>2142074.969770254</v>
      </c>
      <c r="M11" s="17">
        <v>2394741.2333736396</v>
      </c>
      <c r="N11" s="17">
        <v>2068711.0036275696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x14ac:dyDescent="0.25" r="12" customHeight="1" ht="18">
      <c r="A12" s="9"/>
      <c r="B12" s="15">
        <v>45355.395833333336</v>
      </c>
      <c r="C12" s="12">
        <v>120</v>
      </c>
      <c r="D12" s="12">
        <v>126</v>
      </c>
      <c r="E12" s="12">
        <v>128</v>
      </c>
      <c r="F12" s="9" t="s">
        <v>14</v>
      </c>
      <c r="G12" s="9"/>
      <c r="H12" s="9"/>
      <c r="I12" s="10"/>
      <c r="J12" s="6" t="s">
        <v>12</v>
      </c>
      <c r="K12" s="30">
        <v>0</v>
      </c>
      <c r="L12" s="17">
        <v>2292.62394195889</v>
      </c>
      <c r="M12" s="17">
        <v>2407.255139056832</v>
      </c>
      <c r="N12" s="17">
        <v>2445.46553808948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x14ac:dyDescent="0.25" r="13" customHeight="1" ht="18">
      <c r="A13" s="9"/>
      <c r="B13" s="15">
        <v>45356.395833333336</v>
      </c>
      <c r="C13" s="12">
        <v>76</v>
      </c>
      <c r="D13" s="12">
        <v>78</v>
      </c>
      <c r="E13" s="12">
        <v>83</v>
      </c>
      <c r="F13" s="12">
        <v>2723</v>
      </c>
      <c r="G13" s="12">
        <v>2624</v>
      </c>
      <c r="H13" s="12">
        <v>2557</v>
      </c>
      <c r="I13" s="16">
        <f>AVERAGE(F13:H13)*1000/49350</f>
      </c>
      <c r="J13" s="6" t="s">
        <v>12</v>
      </c>
      <c r="K13" s="30">
        <v>0.9604863221884499</v>
      </c>
      <c r="L13" s="17">
        <v>1367.3076923076924</v>
      </c>
      <c r="M13" s="17">
        <v>1403.2894736842106</v>
      </c>
      <c r="N13" s="17">
        <v>1493.2439271255062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x14ac:dyDescent="0.25" r="14" customHeight="1" ht="18">
      <c r="A14" s="14">
        <v>3</v>
      </c>
      <c r="B14" s="15">
        <v>45385.729166666664</v>
      </c>
      <c r="C14" s="12">
        <v>33404</v>
      </c>
      <c r="D14" s="12">
        <v>36168</v>
      </c>
      <c r="E14" s="12">
        <v>31507</v>
      </c>
      <c r="F14" s="12">
        <v>2465</v>
      </c>
      <c r="G14" s="12">
        <v>2489</v>
      </c>
      <c r="H14" s="12">
        <v>2469</v>
      </c>
      <c r="I14" s="16">
        <f>AVERAGE(F14:H14)*1000/49350</f>
      </c>
      <c r="J14" s="6" t="s">
        <v>12</v>
      </c>
      <c r="K14" s="30">
        <v>2.0000000000000004</v>
      </c>
      <c r="L14" s="17">
        <v>1332469.944766267</v>
      </c>
      <c r="M14" s="17">
        <v>1442724.6126902867</v>
      </c>
      <c r="N14" s="17">
        <v>1256799.5015492388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x14ac:dyDescent="0.25" r="15" customHeight="1" ht="18">
      <c r="A15" s="9"/>
      <c r="B15" s="15">
        <v>45386.395833333336</v>
      </c>
      <c r="C15" s="12">
        <v>16779</v>
      </c>
      <c r="D15" s="12">
        <v>17895</v>
      </c>
      <c r="E15" s="12">
        <v>14793</v>
      </c>
      <c r="F15" s="12">
        <v>2485</v>
      </c>
      <c r="G15" s="12">
        <v>2609</v>
      </c>
      <c r="H15" s="12">
        <v>2573</v>
      </c>
      <c r="I15" s="16">
        <f>AVERAGE(F15:H15)*1000/49350</f>
      </c>
      <c r="J15" s="6" t="s">
        <v>12</v>
      </c>
      <c r="K15" s="30">
        <v>5</v>
      </c>
      <c r="L15" s="17">
        <v>1620014.9667405766</v>
      </c>
      <c r="M15" s="17">
        <v>1727764.9341332987</v>
      </c>
      <c r="N15" s="17">
        <v>1428266.3688535283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x14ac:dyDescent="0.25" r="16" customHeight="1" ht="18">
      <c r="A16" s="9"/>
      <c r="B16" s="15">
        <v>45387.395833333336</v>
      </c>
      <c r="C16" s="12">
        <v>6693</v>
      </c>
      <c r="D16" s="12">
        <v>6857</v>
      </c>
      <c r="E16" s="12">
        <v>5993</v>
      </c>
      <c r="F16" s="12">
        <v>2367</v>
      </c>
      <c r="G16" s="12">
        <v>2336</v>
      </c>
      <c r="H16" s="12">
        <v>2224</v>
      </c>
      <c r="I16" s="16">
        <f>AVERAGE(F16:H16)*1000/49350</f>
      </c>
      <c r="J16" s="6" t="s">
        <v>12</v>
      </c>
      <c r="K16" s="30">
        <v>15</v>
      </c>
      <c r="L16" s="17">
        <v>2145731.160675617</v>
      </c>
      <c r="M16" s="17">
        <v>2198308.4668687745</v>
      </c>
      <c r="N16" s="17">
        <v>1921315.8293633608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x14ac:dyDescent="0.25" r="17" customHeight="1" ht="18">
      <c r="A17" s="9"/>
      <c r="B17" s="15">
        <v>45390.395833333336</v>
      </c>
      <c r="C17" s="12">
        <v>105</v>
      </c>
      <c r="D17" s="12">
        <v>95</v>
      </c>
      <c r="E17" s="12">
        <v>116</v>
      </c>
      <c r="F17" s="12">
        <v>2506</v>
      </c>
      <c r="G17" s="12">
        <v>2540</v>
      </c>
      <c r="H17" s="12">
        <v>2498</v>
      </c>
      <c r="I17" s="16">
        <f>AVERAGE(F17:H17)*1000/49350</f>
      </c>
      <c r="J17" s="6" t="s">
        <v>12</v>
      </c>
      <c r="K17" s="30">
        <v>1</v>
      </c>
      <c r="L17" s="17">
        <v>2060.611081654295</v>
      </c>
      <c r="M17" s="17">
        <v>1864.3624072110288</v>
      </c>
      <c r="N17" s="17">
        <v>2276.4846235418877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x14ac:dyDescent="0.25" r="18" customHeight="1" ht="18">
      <c r="A18" s="15"/>
      <c r="B18" s="8"/>
      <c r="C18" s="7"/>
      <c r="D18" s="7"/>
      <c r="E18" s="7"/>
      <c r="F18" s="7"/>
      <c r="G18" s="7"/>
      <c r="H18" s="7"/>
      <c r="I18" s="13"/>
      <c r="J18" s="6"/>
      <c r="K18" s="17"/>
      <c r="L18" s="17"/>
      <c r="M18" s="17"/>
      <c r="N18" s="1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x14ac:dyDescent="0.25" r="19" customHeight="1" ht="18">
      <c r="A19" s="15"/>
      <c r="B19" s="8"/>
      <c r="C19" s="7"/>
      <c r="D19" s="7"/>
      <c r="E19" s="7"/>
      <c r="F19" s="7"/>
      <c r="G19" s="7"/>
      <c r="H19" s="7"/>
      <c r="I19" s="13"/>
      <c r="J19" s="6"/>
      <c r="K19" s="17"/>
      <c r="L19" s="17"/>
      <c r="M19" s="17"/>
      <c r="N19" s="1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x14ac:dyDescent="0.25" r="20" customHeight="1" ht="18">
      <c r="A20" s="15"/>
      <c r="B20" s="8"/>
      <c r="C20" s="7"/>
      <c r="D20" s="7"/>
      <c r="E20" s="7"/>
      <c r="F20" s="7"/>
      <c r="G20" s="7"/>
      <c r="H20" s="7"/>
      <c r="I20" s="13"/>
      <c r="J20" s="6"/>
      <c r="K20" s="17"/>
      <c r="L20" s="17"/>
      <c r="M20" s="17"/>
      <c r="N20" s="11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x14ac:dyDescent="0.25" r="21" customHeight="1" ht="18">
      <c r="A21" s="15"/>
      <c r="B21" s="8"/>
      <c r="C21" s="7"/>
      <c r="D21" s="7"/>
      <c r="E21" s="7"/>
      <c r="F21" s="7"/>
      <c r="G21" s="7"/>
      <c r="H21" s="7"/>
      <c r="I21" s="18"/>
      <c r="J21" s="6"/>
      <c r="K21" s="8"/>
      <c r="L21" s="11"/>
      <c r="M21" s="11"/>
      <c r="N21" s="11"/>
      <c r="O21" s="6"/>
      <c r="P21" s="18"/>
      <c r="Q21" s="6"/>
      <c r="R21" s="6"/>
      <c r="S21" s="18"/>
      <c r="T21" s="6"/>
      <c r="U21" s="6"/>
      <c r="V21" s="18"/>
      <c r="W21" s="6"/>
      <c r="X21" s="6"/>
      <c r="Y21" s="18"/>
      <c r="Z21" s="6"/>
      <c r="AA21" s="6"/>
      <c r="AB21" s="18"/>
      <c r="AC21" s="6"/>
      <c r="AD21" s="6"/>
      <c r="AE21" s="18"/>
      <c r="AF21" s="6"/>
      <c r="AG21" s="6"/>
      <c r="AH21" s="18"/>
    </row>
    <row x14ac:dyDescent="0.25" r="22" customHeight="1" ht="18">
      <c r="A22" s="15"/>
      <c r="B22" s="8"/>
      <c r="C22" s="7"/>
      <c r="D22" s="7"/>
      <c r="E22" s="7"/>
      <c r="F22" s="7"/>
      <c r="G22" s="7"/>
      <c r="H22" s="7"/>
      <c r="I22" s="13"/>
      <c r="J22" s="6"/>
      <c r="K22" s="8"/>
      <c r="L22" s="11"/>
      <c r="M22" s="11"/>
      <c r="N22" s="11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x14ac:dyDescent="0.25" r="23" customHeight="1" ht="18">
      <c r="A23" s="15"/>
      <c r="B23" s="8"/>
      <c r="C23" s="7"/>
      <c r="D23" s="7"/>
      <c r="E23" s="7"/>
      <c r="F23" s="7"/>
      <c r="G23" s="7"/>
      <c r="H23" s="7"/>
      <c r="I23" s="13"/>
      <c r="J23" s="6"/>
      <c r="K23" s="8"/>
      <c r="L23" s="11"/>
      <c r="M23" s="11"/>
      <c r="N23" s="11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x14ac:dyDescent="0.25" r="24" customHeight="1" ht="18">
      <c r="A24" s="15"/>
      <c r="B24" s="8"/>
      <c r="C24" s="7"/>
      <c r="D24" s="7"/>
      <c r="E24" s="7"/>
      <c r="F24" s="7"/>
      <c r="G24" s="7"/>
      <c r="H24" s="7"/>
      <c r="I24" s="13"/>
      <c r="J24" s="6"/>
      <c r="K24" s="8"/>
      <c r="L24" s="11"/>
      <c r="M24" s="11"/>
      <c r="N24" s="11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x14ac:dyDescent="0.25" r="25" customHeight="1" ht="18">
      <c r="A25" s="15"/>
      <c r="B25" s="8"/>
      <c r="C25" s="7"/>
      <c r="D25" s="7"/>
      <c r="E25" s="7"/>
      <c r="F25" s="7"/>
      <c r="G25" s="7"/>
      <c r="H25" s="7"/>
      <c r="I25" s="13"/>
      <c r="J25" s="6"/>
      <c r="K25" s="8"/>
      <c r="L25" s="11"/>
      <c r="M25" s="11"/>
      <c r="N25" s="11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x14ac:dyDescent="0.25" r="26" customHeight="1" ht="18">
      <c r="A26" s="15"/>
      <c r="B26" s="8"/>
      <c r="C26" s="7"/>
      <c r="D26" s="7"/>
      <c r="E26" s="7"/>
      <c r="F26" s="7"/>
      <c r="G26" s="7"/>
      <c r="H26" s="7"/>
      <c r="I26" s="13"/>
      <c r="J26" s="6"/>
      <c r="K26" s="8"/>
      <c r="L26" s="11"/>
      <c r="M26" s="11"/>
      <c r="N26" s="11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x14ac:dyDescent="0.25" r="27" customHeight="1" ht="18">
      <c r="A27" s="15"/>
      <c r="B27" s="8"/>
      <c r="C27" s="7"/>
      <c r="D27" s="7"/>
      <c r="E27" s="7"/>
      <c r="F27" s="7"/>
      <c r="G27" s="7"/>
      <c r="H27" s="7"/>
      <c r="I27" s="13"/>
      <c r="J27" s="6"/>
      <c r="K27" s="17"/>
      <c r="L27" s="17"/>
      <c r="M27" s="17"/>
      <c r="N27" s="11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x14ac:dyDescent="0.25" r="28" customHeight="1" ht="18">
      <c r="A28" s="15"/>
      <c r="B28" s="8"/>
      <c r="C28" s="7"/>
      <c r="D28" s="7"/>
      <c r="E28" s="7"/>
      <c r="F28" s="7"/>
      <c r="G28" s="7"/>
      <c r="H28" s="7"/>
      <c r="I28" s="13"/>
      <c r="J28" s="6"/>
      <c r="K28" s="17"/>
      <c r="L28" s="17"/>
      <c r="M28" s="17"/>
      <c r="N28" s="11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x14ac:dyDescent="0.25" r="29" customHeight="1" ht="18">
      <c r="A29" s="15"/>
      <c r="B29" s="8"/>
      <c r="C29" s="7"/>
      <c r="D29" s="7"/>
      <c r="E29" s="7"/>
      <c r="F29" s="7"/>
      <c r="G29" s="7"/>
      <c r="H29" s="7"/>
      <c r="I29" s="13"/>
      <c r="J29" s="6"/>
      <c r="K29" s="17"/>
      <c r="L29" s="17"/>
      <c r="M29" s="17"/>
      <c r="N29" s="11"/>
      <c r="O29" s="18"/>
      <c r="P29" s="6"/>
      <c r="Q29" s="6"/>
      <c r="R29" s="18"/>
      <c r="S29" s="6"/>
      <c r="T29" s="6"/>
      <c r="U29" s="6"/>
      <c r="V29" s="6"/>
      <c r="W29" s="18"/>
      <c r="X29" s="6"/>
      <c r="Y29" s="6"/>
      <c r="Z29" s="6"/>
      <c r="AA29" s="6"/>
      <c r="AB29" s="18"/>
      <c r="AC29" s="6"/>
      <c r="AD29" s="6"/>
      <c r="AE29" s="6"/>
      <c r="AF29" s="6"/>
      <c r="AG29" s="6"/>
      <c r="AH29" s="6"/>
    </row>
    <row x14ac:dyDescent="0.25" r="30" customHeight="1" ht="18">
      <c r="A30" s="15"/>
      <c r="B30" s="8"/>
      <c r="C30" s="7"/>
      <c r="D30" s="7"/>
      <c r="E30" s="7"/>
      <c r="F30" s="7"/>
      <c r="G30" s="7"/>
      <c r="H30" s="7"/>
      <c r="I30" s="13"/>
      <c r="J30" s="6"/>
      <c r="K30" s="17"/>
      <c r="L30" s="17"/>
      <c r="M30" s="17"/>
      <c r="N30" s="11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x14ac:dyDescent="0.25" r="31" customHeight="1" ht="18">
      <c r="A31" s="15"/>
      <c r="B31" s="8"/>
      <c r="C31" s="7"/>
      <c r="D31" s="7"/>
      <c r="E31" s="7"/>
      <c r="F31" s="7"/>
      <c r="G31" s="7"/>
      <c r="H31" s="7"/>
      <c r="I31" s="13"/>
      <c r="J31" s="6"/>
      <c r="K31" s="17"/>
      <c r="L31" s="17"/>
      <c r="M31" s="17"/>
      <c r="N31" s="11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x14ac:dyDescent="0.25" r="32" customHeight="1" ht="18">
      <c r="A32" s="19"/>
      <c r="B32" s="8"/>
      <c r="C32" s="7"/>
      <c r="D32" s="7"/>
      <c r="E32" s="7"/>
      <c r="F32" s="7"/>
      <c r="G32" s="7"/>
      <c r="H32" s="7"/>
      <c r="I32" s="13"/>
      <c r="J32" s="6"/>
      <c r="K32" s="17"/>
      <c r="L32" s="17"/>
      <c r="M32" s="17"/>
      <c r="N32" s="11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x14ac:dyDescent="0.25" r="33" customHeight="1" ht="18">
      <c r="A33" s="15"/>
      <c r="B33" s="8"/>
      <c r="C33" s="7"/>
      <c r="D33" s="7"/>
      <c r="E33" s="7"/>
      <c r="F33" s="7"/>
      <c r="G33" s="7"/>
      <c r="H33" s="7"/>
      <c r="I33" s="13"/>
      <c r="J33" s="6"/>
      <c r="K33" s="17"/>
      <c r="L33" s="17"/>
      <c r="M33" s="17"/>
      <c r="N33" s="11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x14ac:dyDescent="0.25" r="34" customHeight="1" ht="18">
      <c r="A34" s="15"/>
      <c r="B34" s="8"/>
      <c r="C34" s="7"/>
      <c r="D34" s="7"/>
      <c r="E34" s="7"/>
      <c r="F34" s="7"/>
      <c r="G34" s="7"/>
      <c r="H34" s="7"/>
      <c r="I34" s="13"/>
      <c r="J34" s="6"/>
      <c r="K34" s="17"/>
      <c r="L34" s="17"/>
      <c r="M34" s="17"/>
      <c r="N34" s="11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x14ac:dyDescent="0.25" r="35" customHeight="1" ht="18">
      <c r="A35" s="15"/>
      <c r="B35" s="8"/>
      <c r="C35" s="7"/>
      <c r="D35" s="7"/>
      <c r="E35" s="7"/>
      <c r="F35" s="7"/>
      <c r="G35" s="7"/>
      <c r="H35" s="7"/>
      <c r="I35" s="13"/>
      <c r="J35" s="6"/>
      <c r="K35" s="17"/>
      <c r="L35" s="17"/>
      <c r="M35" s="17"/>
      <c r="N35" s="11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x14ac:dyDescent="0.25" r="36" customHeight="1" ht="18">
      <c r="A36" s="15"/>
      <c r="B36" s="8"/>
      <c r="C36" s="7"/>
      <c r="D36" s="7"/>
      <c r="E36" s="7"/>
      <c r="F36" s="7"/>
      <c r="G36" s="7"/>
      <c r="H36" s="7"/>
      <c r="I36" s="13"/>
      <c r="J36" s="6"/>
      <c r="K36" s="17"/>
      <c r="L36" s="17"/>
      <c r="M36" s="17"/>
      <c r="N36" s="1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x14ac:dyDescent="0.25" r="37" customHeight="1" ht="18">
      <c r="A37" s="15"/>
      <c r="B37" s="8"/>
      <c r="C37" s="7"/>
      <c r="D37" s="7"/>
      <c r="E37" s="7"/>
      <c r="F37" s="7"/>
      <c r="G37" s="7"/>
      <c r="H37" s="7"/>
      <c r="I37" s="13"/>
      <c r="J37" s="6"/>
      <c r="K37" s="17"/>
      <c r="L37" s="17"/>
      <c r="M37" s="17"/>
      <c r="N37" s="11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x14ac:dyDescent="0.25" r="38" customHeight="1" ht="18">
      <c r="A38" s="15"/>
      <c r="B38" s="8"/>
      <c r="C38" s="7"/>
      <c r="D38" s="7"/>
      <c r="E38" s="7"/>
      <c r="F38" s="7"/>
      <c r="G38" s="7"/>
      <c r="H38" s="7"/>
      <c r="I38" s="13"/>
      <c r="J38" s="6"/>
      <c r="K38" s="17"/>
      <c r="L38" s="17"/>
      <c r="M38" s="17"/>
      <c r="N38" s="11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x14ac:dyDescent="0.25" r="39" customHeight="1" ht="18">
      <c r="A39" s="15"/>
      <c r="B39" s="8"/>
      <c r="C39" s="7"/>
      <c r="D39" s="7"/>
      <c r="E39" s="7"/>
      <c r="F39" s="7"/>
      <c r="G39" s="7"/>
      <c r="H39" s="7"/>
      <c r="I39" s="13"/>
      <c r="J39" s="6"/>
      <c r="K39" s="17"/>
      <c r="L39" s="17"/>
      <c r="M39" s="17"/>
      <c r="N39" s="11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x14ac:dyDescent="0.25" r="40" customHeight="1" ht="18">
      <c r="A40" s="15"/>
      <c r="B40" s="8"/>
      <c r="C40" s="7"/>
      <c r="D40" s="7"/>
      <c r="E40" s="7"/>
      <c r="F40" s="7"/>
      <c r="G40" s="7"/>
      <c r="H40" s="7"/>
      <c r="I40" s="13"/>
      <c r="J40" s="6"/>
      <c r="K40" s="17"/>
      <c r="L40" s="17"/>
      <c r="M40" s="17"/>
      <c r="N40" s="11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x14ac:dyDescent="0.25" r="41" customHeight="1" ht="18">
      <c r="A41" s="15"/>
      <c r="B41" s="8"/>
      <c r="C41" s="7"/>
      <c r="D41" s="7"/>
      <c r="E41" s="7"/>
      <c r="F41" s="7"/>
      <c r="G41" s="7"/>
      <c r="H41" s="7"/>
      <c r="I41" s="13"/>
      <c r="J41" s="6"/>
      <c r="K41" s="17"/>
      <c r="L41" s="17"/>
      <c r="M41" s="17"/>
      <c r="N41" s="11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x14ac:dyDescent="0.25" r="42" customHeight="1" ht="18">
      <c r="A42" s="15"/>
      <c r="B42" s="8"/>
      <c r="C42" s="7"/>
      <c r="D42" s="7"/>
      <c r="E42" s="7"/>
      <c r="F42" s="7"/>
      <c r="G42" s="7"/>
      <c r="H42" s="7"/>
      <c r="I42" s="13"/>
      <c r="J42" s="6"/>
      <c r="K42" s="17"/>
      <c r="L42" s="17"/>
      <c r="M42" s="17"/>
      <c r="N42" s="11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x14ac:dyDescent="0.25" r="43" customHeight="1" ht="18">
      <c r="A43" s="15"/>
      <c r="B43" s="8"/>
      <c r="C43" s="7"/>
      <c r="D43" s="7"/>
      <c r="E43" s="7"/>
      <c r="F43" s="7"/>
      <c r="G43" s="7"/>
      <c r="H43" s="7"/>
      <c r="I43" s="13"/>
      <c r="J43" s="6"/>
      <c r="K43" s="17"/>
      <c r="L43" s="17"/>
      <c r="M43" s="17"/>
      <c r="N43" s="11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x14ac:dyDescent="0.25" r="44" customHeight="1" ht="18">
      <c r="A44" s="15"/>
      <c r="B44" s="8"/>
      <c r="C44" s="7"/>
      <c r="D44" s="7"/>
      <c r="E44" s="7"/>
      <c r="F44" s="7"/>
      <c r="G44" s="7"/>
      <c r="H44" s="7"/>
      <c r="I44" s="13"/>
      <c r="J44" s="6"/>
      <c r="K44" s="17"/>
      <c r="L44" s="17"/>
      <c r="M44" s="17"/>
      <c r="N44" s="11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x14ac:dyDescent="0.25" r="45" customHeight="1" ht="18">
      <c r="A45" s="15"/>
      <c r="B45" s="8"/>
      <c r="C45" s="7"/>
      <c r="D45" s="7"/>
      <c r="E45" s="7"/>
      <c r="F45" s="7"/>
      <c r="G45" s="7"/>
      <c r="H45" s="7"/>
      <c r="I45" s="13"/>
      <c r="J45" s="6"/>
      <c r="K45" s="17"/>
      <c r="L45" s="17"/>
      <c r="M45" s="17"/>
      <c r="N45" s="11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x14ac:dyDescent="0.25" r="46" customHeight="1" ht="18">
      <c r="A46" s="15"/>
      <c r="B46" s="8"/>
      <c r="C46" s="7"/>
      <c r="D46" s="7"/>
      <c r="E46" s="7"/>
      <c r="F46" s="7"/>
      <c r="G46" s="7"/>
      <c r="H46" s="7"/>
      <c r="I46" s="13"/>
      <c r="J46" s="6"/>
      <c r="K46" s="17"/>
      <c r="L46" s="17"/>
      <c r="M46" s="17"/>
      <c r="N46" s="11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x14ac:dyDescent="0.25" r="47" customHeight="1" ht="18">
      <c r="A47" s="15"/>
      <c r="B47" s="8"/>
      <c r="C47" s="7"/>
      <c r="D47" s="7"/>
      <c r="E47" s="7"/>
      <c r="F47" s="7"/>
      <c r="G47" s="7"/>
      <c r="H47" s="7"/>
      <c r="I47" s="13"/>
      <c r="J47" s="6"/>
      <c r="K47" s="17"/>
      <c r="L47" s="17"/>
      <c r="M47" s="17"/>
      <c r="N47" s="11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x14ac:dyDescent="0.25" r="48" customHeight="1" ht="18">
      <c r="A48" s="15"/>
      <c r="B48" s="8"/>
      <c r="C48" s="7"/>
      <c r="D48" s="7"/>
      <c r="E48" s="7"/>
      <c r="F48" s="7"/>
      <c r="G48" s="7"/>
      <c r="H48" s="7"/>
      <c r="I48" s="13"/>
      <c r="J48" s="6"/>
      <c r="K48" s="17"/>
      <c r="L48" s="17"/>
      <c r="M48" s="17"/>
      <c r="N48" s="11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x14ac:dyDescent="0.25" r="49" customHeight="1" ht="18">
      <c r="A49" s="15"/>
      <c r="B49" s="8"/>
      <c r="C49" s="7"/>
      <c r="D49" s="7"/>
      <c r="E49" s="7"/>
      <c r="F49" s="7"/>
      <c r="G49" s="7"/>
      <c r="H49" s="7"/>
      <c r="I49" s="13"/>
      <c r="J49" s="6"/>
      <c r="K49" s="17"/>
      <c r="L49" s="17"/>
      <c r="M49" s="17"/>
      <c r="N49" s="11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x14ac:dyDescent="0.25" r="50" customHeight="1" ht="18">
      <c r="A50" s="15"/>
      <c r="B50" s="8"/>
      <c r="C50" s="7"/>
      <c r="D50" s="7"/>
      <c r="E50" s="7"/>
      <c r="F50" s="7"/>
      <c r="G50" s="7"/>
      <c r="H50" s="7"/>
      <c r="I50" s="13"/>
      <c r="J50" s="6"/>
      <c r="K50" s="17"/>
      <c r="L50" s="17"/>
      <c r="M50" s="17"/>
      <c r="N50" s="11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x14ac:dyDescent="0.25" r="51" customHeight="1" ht="18">
      <c r="A51" s="15"/>
      <c r="B51" s="8"/>
      <c r="C51" s="7"/>
      <c r="D51" s="7"/>
      <c r="E51" s="7"/>
      <c r="F51" s="7"/>
      <c r="G51" s="7"/>
      <c r="H51" s="7"/>
      <c r="I51" s="13"/>
      <c r="J51" s="6"/>
      <c r="K51" s="17"/>
      <c r="L51" s="17"/>
      <c r="M51" s="17"/>
      <c r="N51" s="11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x14ac:dyDescent="0.25" r="52" customHeight="1" ht="18">
      <c r="A52" s="15"/>
      <c r="B52" s="8"/>
      <c r="C52" s="7"/>
      <c r="D52" s="7"/>
      <c r="E52" s="7"/>
      <c r="F52" s="7"/>
      <c r="G52" s="7"/>
      <c r="H52" s="7"/>
      <c r="I52" s="13"/>
      <c r="J52" s="6"/>
      <c r="K52" s="17"/>
      <c r="L52" s="17"/>
      <c r="M52" s="17"/>
      <c r="N52" s="11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x14ac:dyDescent="0.25" r="53" customHeight="1" ht="18">
      <c r="A53" s="15"/>
      <c r="B53" s="8"/>
      <c r="C53" s="7"/>
      <c r="D53" s="7"/>
      <c r="E53" s="7"/>
      <c r="F53" s="7"/>
      <c r="G53" s="7"/>
      <c r="H53" s="7"/>
      <c r="I53" s="13"/>
      <c r="J53" s="6"/>
      <c r="K53" s="17"/>
      <c r="L53" s="17"/>
      <c r="M53" s="17"/>
      <c r="N53" s="11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x14ac:dyDescent="0.25" r="54" customHeight="1" ht="18">
      <c r="A54" s="15"/>
      <c r="B54" s="8"/>
      <c r="C54" s="7"/>
      <c r="D54" s="7"/>
      <c r="E54" s="7"/>
      <c r="F54" s="7"/>
      <c r="G54" s="7"/>
      <c r="H54" s="7"/>
      <c r="I54" s="13"/>
      <c r="J54" s="6"/>
      <c r="K54" s="17"/>
      <c r="L54" s="17"/>
      <c r="M54" s="17"/>
      <c r="N54" s="11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x14ac:dyDescent="0.25" r="55" customHeight="1" ht="18">
      <c r="A55" s="15"/>
      <c r="B55" s="8"/>
      <c r="C55" s="7"/>
      <c r="D55" s="7"/>
      <c r="E55" s="7"/>
      <c r="F55" s="7"/>
      <c r="G55" s="7"/>
      <c r="H55" s="7"/>
      <c r="I55" s="13"/>
      <c r="J55" s="6"/>
      <c r="K55" s="17"/>
      <c r="L55" s="17"/>
      <c r="M55" s="17"/>
      <c r="N55" s="11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x14ac:dyDescent="0.25" r="56" customHeight="1" ht="18">
      <c r="A56" s="15"/>
      <c r="B56" s="8"/>
      <c r="C56" s="7"/>
      <c r="D56" s="7"/>
      <c r="E56" s="7"/>
      <c r="F56" s="7"/>
      <c r="G56" s="7"/>
      <c r="H56" s="7"/>
      <c r="I56" s="13"/>
      <c r="J56" s="6"/>
      <c r="K56" s="17"/>
      <c r="L56" s="17"/>
      <c r="M56" s="17"/>
      <c r="N56" s="11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x14ac:dyDescent="0.25" r="57" customHeight="1" ht="18">
      <c r="A57" s="15"/>
      <c r="B57" s="8"/>
      <c r="C57" s="7"/>
      <c r="D57" s="7"/>
      <c r="E57" s="7"/>
      <c r="F57" s="7"/>
      <c r="G57" s="7"/>
      <c r="H57" s="7"/>
      <c r="I57" s="13"/>
      <c r="J57" s="6"/>
      <c r="K57" s="17"/>
      <c r="L57" s="17"/>
      <c r="M57" s="17"/>
      <c r="N57" s="11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x14ac:dyDescent="0.25" r="58" customHeight="1" ht="18">
      <c r="A58" s="15"/>
      <c r="B58" s="8"/>
      <c r="C58" s="7"/>
      <c r="D58" s="7"/>
      <c r="E58" s="7"/>
      <c r="F58" s="7"/>
      <c r="G58" s="7"/>
      <c r="H58" s="7"/>
      <c r="I58" s="13"/>
      <c r="J58" s="6"/>
      <c r="K58" s="17"/>
      <c r="L58" s="17"/>
      <c r="M58" s="17"/>
      <c r="N58" s="11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x14ac:dyDescent="0.25" r="59" customHeight="1" ht="18">
      <c r="A59" s="15"/>
      <c r="B59" s="8"/>
      <c r="C59" s="7"/>
      <c r="D59" s="7"/>
      <c r="E59" s="7"/>
      <c r="F59" s="7"/>
      <c r="G59" s="7"/>
      <c r="H59" s="7"/>
      <c r="I59" s="13"/>
      <c r="J59" s="6"/>
      <c r="K59" s="17"/>
      <c r="L59" s="17"/>
      <c r="M59" s="17"/>
      <c r="N59" s="11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</sheetData>
  <mergeCells count="5">
    <mergeCell ref="A1:N1"/>
    <mergeCell ref="A4:A8"/>
    <mergeCell ref="A9:A13"/>
    <mergeCell ref="F12:I12"/>
    <mergeCell ref="A14:A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40"/>
  <sheetViews>
    <sheetView workbookViewId="0"/>
  </sheetViews>
  <sheetFormatPr defaultRowHeight="15" x14ac:dyDescent="0.25"/>
  <cols>
    <col min="1" max="1" style="20" width="18.576428571428572" customWidth="1" bestFit="1"/>
    <col min="2" max="2" style="21" width="15.43357142857143" customWidth="1" bestFit="1"/>
    <col min="3" max="3" style="20" width="10.719285714285713" customWidth="1" bestFit="1"/>
    <col min="4" max="4" style="20" width="10.719285714285713" customWidth="1" bestFit="1"/>
    <col min="5" max="5" style="20" width="10.719285714285713" customWidth="1" bestFit="1"/>
    <col min="6" max="6" style="20" width="10.719285714285713" customWidth="1" bestFit="1"/>
    <col min="7" max="7" style="20" width="10.719285714285713" customWidth="1" bestFit="1"/>
    <col min="8" max="8" style="20" width="10.719285714285713" customWidth="1" bestFit="1"/>
    <col min="9" max="9" style="22" width="13.005" customWidth="1" bestFit="1"/>
    <col min="10" max="10" style="23" width="13.005" customWidth="1" bestFit="1"/>
    <col min="11" max="11" style="20" width="13.005" customWidth="1" bestFit="1"/>
    <col min="12" max="12" style="24" width="13.005" customWidth="1" bestFit="1"/>
    <col min="13" max="13" style="24" width="13.005" customWidth="1" bestFit="1"/>
    <col min="14" max="14" style="24" width="13.005" customWidth="1" bestFit="1"/>
    <col min="15" max="15" style="23" width="13.005" customWidth="1" bestFit="1"/>
    <col min="16" max="16" style="23" width="13.005" customWidth="1" bestFit="1"/>
    <col min="17" max="17" style="23" width="13.005" customWidth="1" bestFit="1"/>
    <col min="18" max="18" style="23" width="13.005" customWidth="1" bestFit="1"/>
    <col min="19" max="19" style="23" width="13.005" customWidth="1" bestFit="1"/>
    <col min="20" max="20" style="23" width="13.005" customWidth="1" bestFit="1"/>
    <col min="21" max="21" style="23" width="13.005" customWidth="1" bestFit="1"/>
    <col min="22" max="22" style="23" width="13.005" customWidth="1" bestFit="1"/>
    <col min="23" max="23" style="23" width="13.005" customWidth="1" bestFit="1"/>
    <col min="24" max="24" style="23" width="13.005" customWidth="1" bestFit="1"/>
    <col min="25" max="25" style="23" width="13.005" customWidth="1" bestFit="1"/>
    <col min="26" max="26" style="23" width="13.005" customWidth="1" bestFit="1"/>
    <col min="27" max="27" style="23" width="13.005" customWidth="1" bestFit="1"/>
    <col min="28" max="28" style="23" width="13.005" customWidth="1" bestFit="1"/>
    <col min="29" max="29" style="23" width="13.005" customWidth="1" bestFit="1"/>
    <col min="30" max="30" style="23" width="13.005" customWidth="1" bestFit="1"/>
    <col min="31" max="31" style="23" width="13.005" customWidth="1" bestFit="1"/>
    <col min="32" max="32" style="23" width="13.005" customWidth="1" bestFit="1"/>
    <col min="33" max="33" style="23" width="13.005" customWidth="1" bestFit="1"/>
    <col min="34" max="34" style="23" width="13.005" customWidth="1" bestFit="1"/>
  </cols>
  <sheetData>
    <row x14ac:dyDescent="0.25" r="1" customHeight="1" ht="18">
      <c r="A1" s="1" t="s">
        <v>0</v>
      </c>
      <c r="B1" s="2"/>
      <c r="C1" s="1"/>
      <c r="D1" s="1"/>
      <c r="E1" s="1"/>
      <c r="F1" s="1"/>
      <c r="G1" s="1"/>
      <c r="H1" s="1"/>
      <c r="I1" s="3"/>
      <c r="J1" s="4"/>
      <c r="K1" s="1"/>
      <c r="L1" s="5"/>
      <c r="M1" s="5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x14ac:dyDescent="0.25" r="2" customHeight="1" ht="18">
      <c r="A2" s="7" t="s">
        <v>1</v>
      </c>
      <c r="B2" s="8" t="s">
        <v>2</v>
      </c>
      <c r="C2" s="9" t="s">
        <v>3</v>
      </c>
      <c r="D2" s="9"/>
      <c r="E2" s="9"/>
      <c r="F2" s="9" t="s">
        <v>4</v>
      </c>
      <c r="G2" s="9"/>
      <c r="H2" s="9"/>
      <c r="I2" s="10"/>
      <c r="J2" s="6" t="s">
        <v>5</v>
      </c>
      <c r="K2" s="7" t="s">
        <v>6</v>
      </c>
      <c r="L2" s="11" t="s">
        <v>7</v>
      </c>
      <c r="M2" s="11"/>
      <c r="N2" s="1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x14ac:dyDescent="0.25" r="3" customHeight="1" ht="18">
      <c r="A3" s="7"/>
      <c r="B3" s="8"/>
      <c r="C3" s="7" t="s">
        <v>8</v>
      </c>
      <c r="D3" s="7" t="s">
        <v>9</v>
      </c>
      <c r="E3" s="7" t="s">
        <v>10</v>
      </c>
      <c r="F3" s="12">
        <v>1</v>
      </c>
      <c r="G3" s="12">
        <v>2</v>
      </c>
      <c r="H3" s="12">
        <v>3</v>
      </c>
      <c r="I3" s="13" t="s">
        <v>11</v>
      </c>
      <c r="J3" s="6"/>
      <c r="K3" s="7"/>
      <c r="L3" s="11" t="s">
        <v>8</v>
      </c>
      <c r="M3" s="11" t="s">
        <v>9</v>
      </c>
      <c r="N3" s="11" t="s">
        <v>10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x14ac:dyDescent="0.25" r="4" customHeight="1" ht="18">
      <c r="A4" s="14">
        <v>1</v>
      </c>
      <c r="B4" s="15">
        <v>45341.625</v>
      </c>
      <c r="C4" s="12">
        <v>52453</v>
      </c>
      <c r="D4" s="12">
        <v>54917</v>
      </c>
      <c r="E4" s="12">
        <v>57423</v>
      </c>
      <c r="F4" s="12">
        <v>2227</v>
      </c>
      <c r="G4" s="12">
        <v>2388</v>
      </c>
      <c r="H4" s="12">
        <v>2329</v>
      </c>
      <c r="I4" s="16">
        <f>AVERAGE(F4:H4)*1000/47400</f>
      </c>
      <c r="J4" s="6" t="s">
        <v>12</v>
      </c>
      <c r="K4" s="16">
        <v>1.0000000000000002</v>
      </c>
      <c r="L4" s="17">
        <v>1074138.3352534564</v>
      </c>
      <c r="M4" s="17">
        <v>1124596.3997695853</v>
      </c>
      <c r="N4" s="17">
        <v>1175914.5449308755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x14ac:dyDescent="0.25" r="5" customHeight="1" ht="18">
      <c r="A5" s="9"/>
      <c r="B5" s="15">
        <v>45342.395833333336</v>
      </c>
      <c r="C5" s="12">
        <v>35043</v>
      </c>
      <c r="D5" s="12">
        <v>37622</v>
      </c>
      <c r="E5" s="12">
        <v>40810</v>
      </c>
      <c r="F5" s="12">
        <v>1271</v>
      </c>
      <c r="G5" s="12">
        <v>1293</v>
      </c>
      <c r="H5" s="12">
        <v>1315</v>
      </c>
      <c r="I5" s="16">
        <f>AVERAGE(F5:H5)*1000/47400</f>
      </c>
      <c r="J5" s="6" t="s">
        <v>13</v>
      </c>
      <c r="K5" s="12">
        <v>1</v>
      </c>
      <c r="L5" s="17">
        <v>1284638.9791183295</v>
      </c>
      <c r="M5" s="17">
        <v>1379182.366589327</v>
      </c>
      <c r="N5" s="17">
        <v>1496051.0440835266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x14ac:dyDescent="0.25" r="6" customHeight="1" ht="18">
      <c r="A6" s="9"/>
      <c r="B6" s="15">
        <v>45343.395833333336</v>
      </c>
      <c r="C6" s="12">
        <v>15204</v>
      </c>
      <c r="D6" s="12">
        <v>18083</v>
      </c>
      <c r="E6" s="12">
        <v>16654</v>
      </c>
      <c r="F6" s="12">
        <v>2458</v>
      </c>
      <c r="G6" s="12">
        <v>2448</v>
      </c>
      <c r="H6" s="12">
        <v>2527</v>
      </c>
      <c r="I6" s="16">
        <f>AVERAGE(F6:H6)*1000/47400</f>
      </c>
      <c r="J6" s="6" t="s">
        <v>12</v>
      </c>
      <c r="K6" s="12">
        <v>10</v>
      </c>
      <c r="L6" s="17">
        <v>2908662.451230997</v>
      </c>
      <c r="M6" s="17">
        <v>3459441.1408583345</v>
      </c>
      <c r="N6" s="17">
        <v>3186060.5408314276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x14ac:dyDescent="0.25" r="7" customHeight="1" ht="18">
      <c r="A7" s="9"/>
      <c r="B7" s="15">
        <v>45344.395833333336</v>
      </c>
      <c r="C7" s="12">
        <v>30905</v>
      </c>
      <c r="D7" s="12">
        <v>33353</v>
      </c>
      <c r="E7" s="12">
        <v>32302</v>
      </c>
      <c r="F7" s="12">
        <v>2632</v>
      </c>
      <c r="G7" s="12">
        <v>2515</v>
      </c>
      <c r="H7" s="12">
        <v>2523</v>
      </c>
      <c r="I7" s="16">
        <f>AVERAGE(F7:H7)*1000/47400</f>
      </c>
      <c r="J7" s="6" t="s">
        <v>12</v>
      </c>
      <c r="K7" s="12">
        <v>10</v>
      </c>
      <c r="L7" s="17">
        <v>5729714.4719687095</v>
      </c>
      <c r="M7" s="17">
        <v>6183567.926988266</v>
      </c>
      <c r="N7" s="17">
        <v>5988714.993481096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x14ac:dyDescent="0.25" r="8" customHeight="1" ht="18">
      <c r="A8" s="9"/>
      <c r="B8" s="15">
        <v>45345.395833333336</v>
      </c>
      <c r="C8" s="12">
        <v>37925</v>
      </c>
      <c r="D8" s="12">
        <v>39727</v>
      </c>
      <c r="E8" s="12">
        <v>36757</v>
      </c>
      <c r="F8" s="12">
        <v>2632</v>
      </c>
      <c r="G8" s="12">
        <v>2515</v>
      </c>
      <c r="H8" s="12">
        <v>2523</v>
      </c>
      <c r="I8" s="16">
        <f>AVERAGE(F8:H8)*1000/47400</f>
      </c>
      <c r="J8" s="6" t="s">
        <v>12</v>
      </c>
      <c r="K8" s="12">
        <v>20</v>
      </c>
      <c r="L8" s="17">
        <v>14062411.994784877</v>
      </c>
      <c r="M8" s="17">
        <v>14730585.136897003</v>
      </c>
      <c r="N8" s="17">
        <v>13629323.076923078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x14ac:dyDescent="0.25" r="9" customHeight="1" ht="18">
      <c r="A9" s="9"/>
      <c r="B9" s="15">
        <v>45348.395833333336</v>
      </c>
      <c r="C9" s="12">
        <v>20498</v>
      </c>
      <c r="D9" s="12">
        <v>18901</v>
      </c>
      <c r="E9" s="12">
        <v>16876</v>
      </c>
      <c r="F9" s="12">
        <v>2395</v>
      </c>
      <c r="G9" s="12">
        <v>2371</v>
      </c>
      <c r="H9" s="12">
        <v>2340</v>
      </c>
      <c r="I9" s="16">
        <f>AVERAGE(F9:H9)*1000/47400</f>
      </c>
      <c r="J9" s="6" t="s">
        <v>12</v>
      </c>
      <c r="K9" s="12">
        <v>100</v>
      </c>
      <c r="L9" s="17">
        <v>41019076.83647622</v>
      </c>
      <c r="M9" s="17">
        <v>37823278.9192232</v>
      </c>
      <c r="N9" s="17">
        <v>33770999.15564312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x14ac:dyDescent="0.25" r="10" customHeight="1" ht="18">
      <c r="A10" s="14">
        <v>2</v>
      </c>
      <c r="B10" s="18">
        <v>45350.75</v>
      </c>
      <c r="C10" s="12">
        <v>6197</v>
      </c>
      <c r="D10" s="12">
        <v>6668</v>
      </c>
      <c r="E10" s="12">
        <v>6298</v>
      </c>
      <c r="F10" s="12">
        <v>2599</v>
      </c>
      <c r="G10" s="12">
        <v>2587</v>
      </c>
      <c r="H10" s="12">
        <v>2639</v>
      </c>
      <c r="I10" s="16">
        <f>AVERAGE(F10:H10)*1000/47400</f>
      </c>
      <c r="J10" s="6" t="s">
        <v>12</v>
      </c>
      <c r="K10" s="12">
        <v>1</v>
      </c>
      <c r="L10" s="17">
        <v>112615.13099041532</v>
      </c>
      <c r="M10" s="17">
        <v>121174.38977635781</v>
      </c>
      <c r="N10" s="17">
        <v>114450.55591054312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x14ac:dyDescent="0.25" r="11" customHeight="1" ht="18">
      <c r="A11" s="9"/>
      <c r="B11" s="18">
        <v>45351.395833333336</v>
      </c>
      <c r="C11" s="12">
        <v>2996</v>
      </c>
      <c r="D11" s="12">
        <v>2942</v>
      </c>
      <c r="E11" s="12">
        <v>2995</v>
      </c>
      <c r="F11" s="12">
        <v>2647</v>
      </c>
      <c r="G11" s="12">
        <v>2666</v>
      </c>
      <c r="H11" s="12">
        <v>2565</v>
      </c>
      <c r="I11" s="16">
        <f>AVERAGE(F11:H11)*1000/47400</f>
      </c>
      <c r="J11" s="6" t="s">
        <v>12</v>
      </c>
      <c r="K11" s="12">
        <v>2</v>
      </c>
      <c r="L11" s="17">
        <v>108157.19725818736</v>
      </c>
      <c r="M11" s="17">
        <v>106207.76846915462</v>
      </c>
      <c r="N11" s="17">
        <v>108121.09672505713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x14ac:dyDescent="0.25" r="12" customHeight="1" ht="18">
      <c r="A12" s="9"/>
      <c r="B12" s="18">
        <v>45352.395833333336</v>
      </c>
      <c r="C12" s="12">
        <v>8812</v>
      </c>
      <c r="D12" s="12">
        <v>8976</v>
      </c>
      <c r="E12" s="12">
        <v>8510</v>
      </c>
      <c r="F12" s="12">
        <v>2474</v>
      </c>
      <c r="G12" s="12">
        <v>2453</v>
      </c>
      <c r="H12" s="12">
        <v>2516</v>
      </c>
      <c r="I12" s="16">
        <f>AVERAGE(F12:H12)*1000/47400</f>
      </c>
      <c r="J12" s="6" t="s">
        <v>12</v>
      </c>
      <c r="K12" s="12">
        <v>1</v>
      </c>
      <c r="L12" s="17">
        <v>168355.01813784766</v>
      </c>
      <c r="M12" s="17">
        <v>171488.2708585248</v>
      </c>
      <c r="N12" s="17">
        <v>162585.2478839178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x14ac:dyDescent="0.25" r="13" customHeight="1" ht="18">
      <c r="A13" s="9"/>
      <c r="B13" s="15">
        <v>45355.395833333336</v>
      </c>
      <c r="C13" s="12">
        <v>12675</v>
      </c>
      <c r="D13" s="12">
        <v>9936</v>
      </c>
      <c r="E13" s="12">
        <v>10059</v>
      </c>
      <c r="F13" s="9" t="s">
        <v>14</v>
      </c>
      <c r="G13" s="9"/>
      <c r="H13" s="9"/>
      <c r="I13" s="10"/>
      <c r="J13" s="6" t="s">
        <v>12</v>
      </c>
      <c r="K13" s="12">
        <v>1</v>
      </c>
      <c r="L13" s="17">
        <v>2421584.0386940753</v>
      </c>
      <c r="M13" s="17">
        <v>1898292.623941959</v>
      </c>
      <c r="N13" s="17">
        <v>1921792.0193470377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x14ac:dyDescent="0.25" r="14" customHeight="1" ht="18">
      <c r="A14" s="9"/>
      <c r="B14" s="15">
        <v>45356.395833333336</v>
      </c>
      <c r="C14" s="12">
        <v>14324</v>
      </c>
      <c r="D14" s="12">
        <v>12099</v>
      </c>
      <c r="E14" s="12">
        <v>11564</v>
      </c>
      <c r="F14" s="12">
        <v>2723</v>
      </c>
      <c r="G14" s="12">
        <v>2624</v>
      </c>
      <c r="H14" s="12">
        <v>2557</v>
      </c>
      <c r="I14" s="16">
        <f>AVERAGE(F14:H14)*1000/47400</f>
      </c>
      <c r="J14" s="6" t="s">
        <v>12</v>
      </c>
      <c r="K14" s="12">
        <v>20</v>
      </c>
      <c r="L14" s="17">
        <v>5154030.36437247</v>
      </c>
      <c r="M14" s="17">
        <v>4353435.72874494</v>
      </c>
      <c r="N14" s="17">
        <v>4160933.198380567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x14ac:dyDescent="0.25" r="15" customHeight="1" ht="18">
      <c r="A15" s="15"/>
      <c r="B15" s="8"/>
      <c r="C15" s="7"/>
      <c r="D15" s="7"/>
      <c r="E15" s="7"/>
      <c r="F15" s="7"/>
      <c r="G15" s="7"/>
      <c r="H15" s="7"/>
      <c r="I15" s="13"/>
      <c r="J15" s="6"/>
      <c r="K15" s="17"/>
      <c r="L15" s="17"/>
      <c r="M15" s="17"/>
      <c r="N15" s="1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x14ac:dyDescent="0.25" r="16" customHeight="1" ht="18">
      <c r="A16" s="15"/>
      <c r="B16" s="8"/>
      <c r="C16" s="7"/>
      <c r="D16" s="7"/>
      <c r="E16" s="7"/>
      <c r="F16" s="7"/>
      <c r="G16" s="7"/>
      <c r="H16" s="7"/>
      <c r="I16" s="13"/>
      <c r="J16" s="6"/>
      <c r="K16" s="17"/>
      <c r="L16" s="17"/>
      <c r="M16" s="17"/>
      <c r="N16" s="1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x14ac:dyDescent="0.25" r="17" customHeight="1" ht="18">
      <c r="A17" s="15"/>
      <c r="B17" s="8"/>
      <c r="C17" s="7"/>
      <c r="D17" s="7"/>
      <c r="E17" s="7"/>
      <c r="F17" s="7"/>
      <c r="G17" s="7"/>
      <c r="H17" s="7"/>
      <c r="I17" s="13"/>
      <c r="J17" s="6"/>
      <c r="K17" s="17"/>
      <c r="L17" s="17"/>
      <c r="M17" s="17"/>
      <c r="N17" s="1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x14ac:dyDescent="0.25" r="18" customHeight="1" ht="18">
      <c r="A18" s="15"/>
      <c r="B18" s="8"/>
      <c r="C18" s="7"/>
      <c r="D18" s="7"/>
      <c r="E18" s="7"/>
      <c r="F18" s="7"/>
      <c r="G18" s="7"/>
      <c r="H18" s="7"/>
      <c r="I18" s="13"/>
      <c r="J18" s="6"/>
      <c r="K18" s="17"/>
      <c r="L18" s="17"/>
      <c r="M18" s="17"/>
      <c r="N18" s="1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x14ac:dyDescent="0.25" r="19" customHeight="1" ht="18">
      <c r="A19" s="15"/>
      <c r="B19" s="8"/>
      <c r="C19" s="7"/>
      <c r="D19" s="7"/>
      <c r="E19" s="7"/>
      <c r="F19" s="7"/>
      <c r="G19" s="7"/>
      <c r="H19" s="7"/>
      <c r="I19" s="18"/>
      <c r="J19" s="6"/>
      <c r="K19" s="7"/>
      <c r="L19" s="11"/>
      <c r="M19" s="11"/>
      <c r="N19" s="11"/>
      <c r="O19" s="6"/>
      <c r="P19" s="18"/>
      <c r="Q19" s="6"/>
      <c r="R19" s="6"/>
      <c r="S19" s="18"/>
      <c r="T19" s="6"/>
      <c r="U19" s="6"/>
      <c r="V19" s="18"/>
      <c r="W19" s="6"/>
      <c r="X19" s="6"/>
      <c r="Y19" s="18"/>
      <c r="Z19" s="6"/>
      <c r="AA19" s="6"/>
      <c r="AB19" s="18"/>
      <c r="AC19" s="6"/>
      <c r="AD19" s="6"/>
      <c r="AE19" s="18"/>
      <c r="AF19" s="6"/>
      <c r="AG19" s="6"/>
      <c r="AH19" s="18"/>
    </row>
    <row x14ac:dyDescent="0.25" r="20" customHeight="1" ht="18">
      <c r="A20" s="15"/>
      <c r="B20" s="8"/>
      <c r="C20" s="7"/>
      <c r="D20" s="7"/>
      <c r="E20" s="7"/>
      <c r="F20" s="7"/>
      <c r="G20" s="7"/>
      <c r="H20" s="7"/>
      <c r="I20" s="13"/>
      <c r="J20" s="6"/>
      <c r="K20" s="7"/>
      <c r="L20" s="11"/>
      <c r="M20" s="11"/>
      <c r="N20" s="11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x14ac:dyDescent="0.25" r="21" customHeight="1" ht="18">
      <c r="A21" s="15"/>
      <c r="B21" s="8"/>
      <c r="C21" s="7"/>
      <c r="D21" s="7"/>
      <c r="E21" s="7"/>
      <c r="F21" s="7"/>
      <c r="G21" s="7"/>
      <c r="H21" s="7"/>
      <c r="I21" s="13"/>
      <c r="J21" s="6"/>
      <c r="K21" s="7"/>
      <c r="L21" s="11"/>
      <c r="M21" s="11"/>
      <c r="N21" s="1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x14ac:dyDescent="0.25" r="22" customHeight="1" ht="18">
      <c r="A22" s="15"/>
      <c r="B22" s="8"/>
      <c r="C22" s="7"/>
      <c r="D22" s="7"/>
      <c r="E22" s="7"/>
      <c r="F22" s="7"/>
      <c r="G22" s="7"/>
      <c r="H22" s="7"/>
      <c r="I22" s="13"/>
      <c r="J22" s="6"/>
      <c r="K22" s="7"/>
      <c r="L22" s="11"/>
      <c r="M22" s="11"/>
      <c r="N22" s="11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x14ac:dyDescent="0.25" r="23" customHeight="1" ht="18">
      <c r="A23" s="15"/>
      <c r="B23" s="8"/>
      <c r="C23" s="7"/>
      <c r="D23" s="7"/>
      <c r="E23" s="7"/>
      <c r="F23" s="7"/>
      <c r="G23" s="7"/>
      <c r="H23" s="7"/>
      <c r="I23" s="13"/>
      <c r="J23" s="6"/>
      <c r="K23" s="7"/>
      <c r="L23" s="11"/>
      <c r="M23" s="11"/>
      <c r="N23" s="11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x14ac:dyDescent="0.25" r="24" customHeight="1" ht="18">
      <c r="A24" s="15"/>
      <c r="B24" s="8"/>
      <c r="C24" s="7"/>
      <c r="D24" s="7"/>
      <c r="E24" s="7"/>
      <c r="F24" s="7"/>
      <c r="G24" s="7"/>
      <c r="H24" s="7"/>
      <c r="I24" s="13"/>
      <c r="J24" s="6"/>
      <c r="K24" s="7"/>
      <c r="L24" s="11"/>
      <c r="M24" s="11"/>
      <c r="N24" s="11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x14ac:dyDescent="0.25" r="25" customHeight="1" ht="18">
      <c r="A25" s="15"/>
      <c r="B25" s="8"/>
      <c r="C25" s="7"/>
      <c r="D25" s="7"/>
      <c r="E25" s="7"/>
      <c r="F25" s="7"/>
      <c r="G25" s="7"/>
      <c r="H25" s="7"/>
      <c r="I25" s="13"/>
      <c r="J25" s="6"/>
      <c r="K25" s="17"/>
      <c r="L25" s="17"/>
      <c r="M25" s="17"/>
      <c r="N25" s="11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x14ac:dyDescent="0.25" r="26" customHeight="1" ht="18">
      <c r="A26" s="15"/>
      <c r="B26" s="8"/>
      <c r="C26" s="7"/>
      <c r="D26" s="7"/>
      <c r="E26" s="7"/>
      <c r="F26" s="7"/>
      <c r="G26" s="7"/>
      <c r="H26" s="7"/>
      <c r="I26" s="13"/>
      <c r="J26" s="6"/>
      <c r="K26" s="17"/>
      <c r="L26" s="17"/>
      <c r="M26" s="17"/>
      <c r="N26" s="11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x14ac:dyDescent="0.25" r="27" customHeight="1" ht="18">
      <c r="A27" s="15"/>
      <c r="B27" s="8"/>
      <c r="C27" s="7"/>
      <c r="D27" s="7"/>
      <c r="E27" s="7"/>
      <c r="F27" s="7"/>
      <c r="G27" s="7"/>
      <c r="H27" s="7"/>
      <c r="I27" s="13"/>
      <c r="J27" s="6"/>
      <c r="K27" s="17"/>
      <c r="L27" s="17"/>
      <c r="M27" s="17"/>
      <c r="N27" s="11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x14ac:dyDescent="0.25" r="28" customHeight="1" ht="18">
      <c r="A28" s="15"/>
      <c r="B28" s="8"/>
      <c r="C28" s="7"/>
      <c r="D28" s="7"/>
      <c r="E28" s="7"/>
      <c r="F28" s="7"/>
      <c r="G28" s="7"/>
      <c r="H28" s="7"/>
      <c r="I28" s="13"/>
      <c r="J28" s="6"/>
      <c r="K28" s="17"/>
      <c r="L28" s="17"/>
      <c r="M28" s="17"/>
      <c r="N28" s="11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x14ac:dyDescent="0.25" r="29" customHeight="1" ht="18">
      <c r="A29" s="15"/>
      <c r="B29" s="8"/>
      <c r="C29" s="7"/>
      <c r="D29" s="7"/>
      <c r="E29" s="7"/>
      <c r="F29" s="7"/>
      <c r="G29" s="7"/>
      <c r="H29" s="7"/>
      <c r="I29" s="13"/>
      <c r="J29" s="6"/>
      <c r="K29" s="17"/>
      <c r="L29" s="17"/>
      <c r="M29" s="17"/>
      <c r="N29" s="11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x14ac:dyDescent="0.25" r="30" customHeight="1" ht="18">
      <c r="A30" s="15"/>
      <c r="B30" s="8"/>
      <c r="C30" s="7"/>
      <c r="D30" s="7"/>
      <c r="E30" s="7"/>
      <c r="F30" s="7"/>
      <c r="G30" s="7"/>
      <c r="H30" s="7"/>
      <c r="I30" s="13"/>
      <c r="J30" s="6"/>
      <c r="K30" s="17"/>
      <c r="L30" s="17"/>
      <c r="M30" s="17"/>
      <c r="N30" s="11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x14ac:dyDescent="0.25" r="31" customHeight="1" ht="18">
      <c r="A31" s="15"/>
      <c r="B31" s="8"/>
      <c r="C31" s="7"/>
      <c r="D31" s="7"/>
      <c r="E31" s="7"/>
      <c r="F31" s="7"/>
      <c r="G31" s="7"/>
      <c r="H31" s="7"/>
      <c r="I31" s="13"/>
      <c r="J31" s="6"/>
      <c r="K31" s="17"/>
      <c r="L31" s="17"/>
      <c r="M31" s="17"/>
      <c r="N31" s="11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x14ac:dyDescent="0.25" r="32" customHeight="1" ht="18">
      <c r="A32" s="15"/>
      <c r="B32" s="8"/>
      <c r="C32" s="7"/>
      <c r="D32" s="7"/>
      <c r="E32" s="7"/>
      <c r="F32" s="7"/>
      <c r="G32" s="7"/>
      <c r="H32" s="7"/>
      <c r="I32" s="13"/>
      <c r="J32" s="6"/>
      <c r="K32" s="17"/>
      <c r="L32" s="17"/>
      <c r="M32" s="17"/>
      <c r="N32" s="11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x14ac:dyDescent="0.25" r="33" customHeight="1" ht="18">
      <c r="A33" s="15"/>
      <c r="B33" s="8"/>
      <c r="C33" s="7"/>
      <c r="D33" s="7"/>
      <c r="E33" s="7"/>
      <c r="F33" s="7"/>
      <c r="G33" s="7"/>
      <c r="H33" s="7"/>
      <c r="I33" s="13"/>
      <c r="J33" s="6"/>
      <c r="K33" s="17"/>
      <c r="L33" s="17"/>
      <c r="M33" s="17"/>
      <c r="N33" s="11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x14ac:dyDescent="0.25" r="34" customHeight="1" ht="18">
      <c r="A34" s="19"/>
      <c r="B34" s="8"/>
      <c r="C34" s="7"/>
      <c r="D34" s="7"/>
      <c r="E34" s="7"/>
      <c r="F34" s="7"/>
      <c r="G34" s="7"/>
      <c r="H34" s="7"/>
      <c r="I34" s="13"/>
      <c r="J34" s="6"/>
      <c r="K34" s="17"/>
      <c r="L34" s="17"/>
      <c r="M34" s="17"/>
      <c r="N34" s="11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x14ac:dyDescent="0.25" r="35" customHeight="1" ht="18">
      <c r="A35" s="15"/>
      <c r="B35" s="8"/>
      <c r="C35" s="7"/>
      <c r="D35" s="7"/>
      <c r="E35" s="7"/>
      <c r="F35" s="7"/>
      <c r="G35" s="7"/>
      <c r="H35" s="7"/>
      <c r="I35" s="13"/>
      <c r="J35" s="6"/>
      <c r="K35" s="17"/>
      <c r="L35" s="17"/>
      <c r="M35" s="17"/>
      <c r="N35" s="11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x14ac:dyDescent="0.25" r="36" customHeight="1" ht="18">
      <c r="A36" s="15"/>
      <c r="B36" s="8"/>
      <c r="C36" s="7"/>
      <c r="D36" s="7"/>
      <c r="E36" s="7"/>
      <c r="F36" s="7"/>
      <c r="G36" s="7"/>
      <c r="H36" s="7"/>
      <c r="I36" s="13"/>
      <c r="J36" s="6"/>
      <c r="K36" s="17"/>
      <c r="L36" s="17"/>
      <c r="M36" s="17"/>
      <c r="N36" s="1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x14ac:dyDescent="0.25" r="37" customHeight="1" ht="18">
      <c r="A37" s="15"/>
      <c r="B37" s="8"/>
      <c r="C37" s="7"/>
      <c r="D37" s="7"/>
      <c r="E37" s="7"/>
      <c r="F37" s="7"/>
      <c r="G37" s="7"/>
      <c r="H37" s="7"/>
      <c r="I37" s="13"/>
      <c r="J37" s="6"/>
      <c r="K37" s="17"/>
      <c r="L37" s="17"/>
      <c r="M37" s="17"/>
      <c r="N37" s="11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x14ac:dyDescent="0.25" r="38" customHeight="1" ht="18">
      <c r="A38" s="15"/>
      <c r="B38" s="8"/>
      <c r="C38" s="7"/>
      <c r="D38" s="7"/>
      <c r="E38" s="7"/>
      <c r="F38" s="7"/>
      <c r="G38" s="7"/>
      <c r="H38" s="7"/>
      <c r="I38" s="13"/>
      <c r="J38" s="6"/>
      <c r="K38" s="17"/>
      <c r="L38" s="17"/>
      <c r="M38" s="17"/>
      <c r="N38" s="11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x14ac:dyDescent="0.25" r="39" customHeight="1" ht="18">
      <c r="A39" s="15"/>
      <c r="B39" s="8"/>
      <c r="C39" s="7"/>
      <c r="D39" s="7"/>
      <c r="E39" s="7"/>
      <c r="F39" s="7"/>
      <c r="G39" s="7"/>
      <c r="H39" s="7"/>
      <c r="I39" s="13"/>
      <c r="J39" s="6"/>
      <c r="K39" s="17"/>
      <c r="L39" s="17"/>
      <c r="M39" s="17"/>
      <c r="N39" s="11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x14ac:dyDescent="0.25" r="40" customHeight="1" ht="18">
      <c r="A40" s="15"/>
      <c r="B40" s="8"/>
      <c r="C40" s="7"/>
      <c r="D40" s="7"/>
      <c r="E40" s="7"/>
      <c r="F40" s="7"/>
      <c r="G40" s="7"/>
      <c r="H40" s="7"/>
      <c r="I40" s="13"/>
      <c r="J40" s="6"/>
      <c r="K40" s="17"/>
      <c r="L40" s="17"/>
      <c r="M40" s="17"/>
      <c r="N40" s="11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</sheetData>
  <mergeCells count="4">
    <mergeCell ref="A1:N1"/>
    <mergeCell ref="A4:A9"/>
    <mergeCell ref="A10:A14"/>
    <mergeCell ref="F13:I1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Host 15</vt:lpstr>
      <vt:lpstr>Host 20</vt:lpstr>
      <vt:lpstr>host 26</vt:lpstr>
      <vt:lpstr>Coevo 15</vt:lpstr>
      <vt:lpstr>Coevo 20</vt:lpstr>
      <vt:lpstr>Coevo 26</vt:lpstr>
      <vt:lpstr>Virus 15</vt:lpstr>
      <vt:lpstr>Virus 20</vt:lpstr>
      <vt:lpstr>Virus 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2026-01-29T08:28:25.605Z</dcterms:created>
  <dcterms:modified xsi:type="dcterms:W3CDTF">2026-01-29T08:28:25.605Z</dcterms:modified>
</cp:coreProperties>
</file>