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udodin/Desktop/"/>
    </mc:Choice>
  </mc:AlternateContent>
  <xr:revisionPtr revIDLastSave="0" documentId="13_ncr:1_{8D6238F1-670D-6943-A453-C92FA640262A}" xr6:coauthVersionLast="47" xr6:coauthVersionMax="47" xr10:uidLastSave="{00000000-0000-0000-0000-000000000000}"/>
  <bookViews>
    <workbookView xWindow="30220" yWindow="600" windowWidth="38400" windowHeight="21000" xr2:uid="{00000000-000D-0000-FFFF-FFFF00000000}"/>
  </bookViews>
  <sheets>
    <sheet name="A" sheetId="1" r:id="rId1"/>
    <sheet name="B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9" i="3" l="1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3" i="3"/>
  <c r="BC19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3" i="2"/>
  <c r="BC19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3" i="1"/>
  <c r="B3" i="3"/>
  <c r="B4" i="3" s="1"/>
  <c r="B3" i="2"/>
  <c r="B4" i="2" s="1"/>
  <c r="C4" i="3" l="1"/>
  <c r="B5" i="3"/>
  <c r="C3" i="3"/>
  <c r="C4" i="2"/>
  <c r="B5" i="2"/>
  <c r="C3" i="2"/>
  <c r="B3" i="1"/>
  <c r="B6" i="3" l="1"/>
  <c r="C5" i="3"/>
  <c r="B6" i="2"/>
  <c r="C5" i="2"/>
  <c r="B4" i="1"/>
  <c r="C3" i="1"/>
  <c r="B7" i="3" l="1"/>
  <c r="C6" i="3"/>
  <c r="B7" i="2"/>
  <c r="C6" i="2"/>
  <c r="B5" i="1"/>
  <c r="C4" i="1"/>
  <c r="B8" i="3" l="1"/>
  <c r="C7" i="3"/>
  <c r="C7" i="2"/>
  <c r="B8" i="2"/>
  <c r="B6" i="1"/>
  <c r="C5" i="1"/>
  <c r="C8" i="3" l="1"/>
  <c r="B9" i="3"/>
  <c r="B17" i="3"/>
  <c r="B17" i="2"/>
  <c r="B9" i="2"/>
  <c r="C8" i="2"/>
  <c r="B7" i="1"/>
  <c r="C6" i="1"/>
  <c r="B18" i="3" l="1"/>
  <c r="C17" i="3"/>
  <c r="B16" i="3"/>
  <c r="C16" i="3" s="1"/>
  <c r="C9" i="3"/>
  <c r="B10" i="3"/>
  <c r="C9" i="2"/>
  <c r="B10" i="2"/>
  <c r="B18" i="2"/>
  <c r="C17" i="2"/>
  <c r="B16" i="2"/>
  <c r="C16" i="2" s="1"/>
  <c r="B8" i="1"/>
  <c r="C7" i="1"/>
  <c r="B11" i="3" l="1"/>
  <c r="C10" i="3"/>
  <c r="C18" i="3"/>
  <c r="B19" i="3"/>
  <c r="C19" i="3" s="1"/>
  <c r="B19" i="2"/>
  <c r="C19" i="2" s="1"/>
  <c r="C18" i="2"/>
  <c r="B11" i="2"/>
  <c r="C10" i="2"/>
  <c r="B17" i="1"/>
  <c r="C8" i="1"/>
  <c r="B9" i="1"/>
  <c r="B12" i="3" l="1"/>
  <c r="C11" i="3"/>
  <c r="B12" i="2"/>
  <c r="C11" i="2"/>
  <c r="B10" i="1"/>
  <c r="C9" i="1"/>
  <c r="C17" i="1"/>
  <c r="B18" i="1"/>
  <c r="B16" i="1"/>
  <c r="C16" i="1" s="1"/>
  <c r="B13" i="3" l="1"/>
  <c r="C12" i="3"/>
  <c r="C12" i="2"/>
  <c r="B13" i="2"/>
  <c r="B19" i="1"/>
  <c r="C19" i="1" s="1"/>
  <c r="C18" i="1"/>
  <c r="B11" i="1"/>
  <c r="C11" i="1" s="1"/>
  <c r="C10" i="1"/>
  <c r="B14" i="3" l="1"/>
  <c r="C13" i="3"/>
  <c r="C13" i="2"/>
  <c r="B14" i="2"/>
  <c r="B12" i="1"/>
  <c r="C14" i="3" l="1"/>
  <c r="B15" i="3"/>
  <c r="C15" i="3" s="1"/>
  <c r="C14" i="2"/>
  <c r="B15" i="2"/>
  <c r="C15" i="2" s="1"/>
  <c r="B13" i="1"/>
  <c r="C12" i="1"/>
  <c r="B14" i="1" l="1"/>
  <c r="C13" i="1"/>
  <c r="B15" i="1" l="1"/>
  <c r="C15" i="1" s="1"/>
  <c r="C14" i="1"/>
</calcChain>
</file>

<file path=xl/sharedStrings.xml><?xml version="1.0" encoding="utf-8"?>
<sst xmlns="http://schemas.openxmlformats.org/spreadsheetml/2006/main" count="100" uniqueCount="22">
  <si>
    <t>Beads</t>
  </si>
  <si>
    <t>Micromonas</t>
  </si>
  <si>
    <t>Concentration</t>
  </si>
  <si>
    <t>Time</t>
  </si>
  <si>
    <t>Events</t>
  </si>
  <si>
    <t>Events/μL(V)</t>
  </si>
  <si>
    <t>Mean FITC-H</t>
  </si>
  <si>
    <t>Mean FITC-A</t>
  </si>
  <si>
    <t>CV FITC-A</t>
  </si>
  <si>
    <t>Mean FSC-H</t>
  </si>
  <si>
    <t>Median FSC-H</t>
  </si>
  <si>
    <t>CV FSC-H</t>
  </si>
  <si>
    <t>SD FSC-H</t>
  </si>
  <si>
    <t>Mean SSC-H</t>
  </si>
  <si>
    <t>Median SSC-H</t>
  </si>
  <si>
    <t>CV SSC-H</t>
  </si>
  <si>
    <t>SD SSC-H</t>
  </si>
  <si>
    <t>Mean PC5.5-H</t>
  </si>
  <si>
    <t>Median PC5.5-H</t>
  </si>
  <si>
    <t>CV PC5.5-H</t>
  </si>
  <si>
    <t>SD PC5.5-H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</si>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</sst>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10" fontId="0" fillId="0" borderId="0" xfId="0" applyNumberFormat="1"/>
    <xf numFmtId="14" fontId="0" fillId="0" borderId="0" xfId="0" applyNumberFormat="1"/>
    <xf numFmtId="11" fontId="1" fillId="0" borderId="0" xfId="0" applyNumberFormat="1" applyFont="1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4" xfId="0" applyBorder="1"/>
    <xf numFmtId="0" fontId="0" fillId="0" borderId="0" xfId="0" applyBorder="1"/>
    <xf numFmtId="10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0" fontId="0" fillId="0" borderId="7" xfId="0" applyNumberFormat="1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Host abundance</a:t>
            </a:r>
          </a:p>
        </c:rich>
      </c:tx>
      <c:layout>
        <c:manualLayout>
          <c:xMode val="edge"/>
          <c:yMode val="edge"/>
          <c:x val="0.40618604492620242"/>
          <c:y val="1.422475106685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665514537955483E-2"/>
          <c:y val="0.1092745376955903"/>
          <c:w val="0.88964502164502157"/>
          <c:h val="0.70911324917955676"/>
        </c:manualLayout>
      </c:layout>
      <c:lineChart>
        <c:grouping val="standard"/>
        <c:varyColors val="0"/>
        <c:ser>
          <c:idx val="0"/>
          <c:order val="0"/>
          <c:tx>
            <c:v>RepA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A!$D$3:$D$19</c:f>
              <c:numCache>
                <c:formatCode>0.00E+00</c:formatCode>
                <c:ptCount val="17"/>
                <c:pt idx="0">
                  <c:v>1900000</c:v>
                </c:pt>
                <c:pt idx="1">
                  <c:v>1390000</c:v>
                </c:pt>
                <c:pt idx="2">
                  <c:v>277000</c:v>
                </c:pt>
                <c:pt idx="3">
                  <c:v>2320</c:v>
                </c:pt>
                <c:pt idx="4">
                  <c:v>3310</c:v>
                </c:pt>
                <c:pt idx="5">
                  <c:v>5850</c:v>
                </c:pt>
                <c:pt idx="6">
                  <c:v>10800</c:v>
                </c:pt>
                <c:pt idx="7">
                  <c:v>20300</c:v>
                </c:pt>
                <c:pt idx="8">
                  <c:v>131000</c:v>
                </c:pt>
                <c:pt idx="9">
                  <c:v>224000</c:v>
                </c:pt>
                <c:pt idx="10">
                  <c:v>375000</c:v>
                </c:pt>
                <c:pt idx="11">
                  <c:v>669000</c:v>
                </c:pt>
                <c:pt idx="12">
                  <c:v>865000</c:v>
                </c:pt>
                <c:pt idx="13">
                  <c:v>8370000</c:v>
                </c:pt>
                <c:pt idx="14">
                  <c:v>10700000</c:v>
                </c:pt>
                <c:pt idx="15">
                  <c:v>19700000</c:v>
                </c:pt>
                <c:pt idx="16">
                  <c:v>28800000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D-D540-B9A0-6C88BA34C0B3}"/>
            </c:ext>
          </c:extLst>
        </c:ser>
        <c:ser>
          <c:idx val="1"/>
          <c:order val="1"/>
          <c:tx>
            <c:v>Rep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F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B!$D$3:$D$19</c:f>
              <c:numCache>
                <c:formatCode>0.00E+00</c:formatCode>
                <c:ptCount val="17"/>
                <c:pt idx="0">
                  <c:v>1900000</c:v>
                </c:pt>
                <c:pt idx="1">
                  <c:v>1390000</c:v>
                </c:pt>
                <c:pt idx="2">
                  <c:v>277000</c:v>
                </c:pt>
                <c:pt idx="3">
                  <c:v>2320</c:v>
                </c:pt>
                <c:pt idx="4">
                  <c:v>3310</c:v>
                </c:pt>
                <c:pt idx="5">
                  <c:v>5850</c:v>
                </c:pt>
                <c:pt idx="6">
                  <c:v>10800</c:v>
                </c:pt>
                <c:pt idx="7">
                  <c:v>20300</c:v>
                </c:pt>
                <c:pt idx="8">
                  <c:v>131000</c:v>
                </c:pt>
                <c:pt idx="9">
                  <c:v>224000</c:v>
                </c:pt>
                <c:pt idx="10">
                  <c:v>375000</c:v>
                </c:pt>
                <c:pt idx="11">
                  <c:v>669000</c:v>
                </c:pt>
                <c:pt idx="12">
                  <c:v>865000</c:v>
                </c:pt>
                <c:pt idx="13">
                  <c:v>8370000</c:v>
                </c:pt>
                <c:pt idx="14">
                  <c:v>10700000</c:v>
                </c:pt>
                <c:pt idx="15">
                  <c:v>19700000</c:v>
                </c:pt>
                <c:pt idx="16">
                  <c:v>28800000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4D-D540-B9A0-6C88BA34C0B3}"/>
            </c:ext>
          </c:extLst>
        </c:ser>
        <c:ser>
          <c:idx val="2"/>
          <c:order val="2"/>
          <c:tx>
            <c:v>Rep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2D05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'C'!$D$3:$D$19</c:f>
              <c:numCache>
                <c:formatCode>0.00E+00</c:formatCode>
                <c:ptCount val="17"/>
                <c:pt idx="0">
                  <c:v>1900000</c:v>
                </c:pt>
                <c:pt idx="1">
                  <c:v>1390000</c:v>
                </c:pt>
                <c:pt idx="2">
                  <c:v>277000</c:v>
                </c:pt>
                <c:pt idx="3">
                  <c:v>2320</c:v>
                </c:pt>
                <c:pt idx="4">
                  <c:v>3310</c:v>
                </c:pt>
                <c:pt idx="5">
                  <c:v>5850</c:v>
                </c:pt>
                <c:pt idx="6">
                  <c:v>10800</c:v>
                </c:pt>
                <c:pt idx="7">
                  <c:v>20300</c:v>
                </c:pt>
                <c:pt idx="8">
                  <c:v>131000</c:v>
                </c:pt>
                <c:pt idx="9">
                  <c:v>224000</c:v>
                </c:pt>
                <c:pt idx="10">
                  <c:v>375000</c:v>
                </c:pt>
                <c:pt idx="11">
                  <c:v>669000</c:v>
                </c:pt>
                <c:pt idx="12">
                  <c:v>865000</c:v>
                </c:pt>
                <c:pt idx="13">
                  <c:v>8370000</c:v>
                </c:pt>
                <c:pt idx="14">
                  <c:v>10700000</c:v>
                </c:pt>
                <c:pt idx="15">
                  <c:v>19700000</c:v>
                </c:pt>
                <c:pt idx="16">
                  <c:v>28800000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4D-D540-B9A0-6C88BA34C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8351"/>
        <c:axId val="20637759"/>
      </c:lineChart>
      <c:dateAx>
        <c:axId val="2062835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37759"/>
        <c:crosses val="autoZero"/>
        <c:auto val="1"/>
        <c:lblOffset val="100"/>
        <c:baseTimeUnit val="days"/>
      </c:dateAx>
      <c:valAx>
        <c:axId val="20637759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2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13566486007444"/>
          <c:y val="0.60152865671307443"/>
          <c:w val="9.3646930497324199E-2"/>
          <c:h val="0.1956100402101230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Ratio SSC-H =</a:t>
            </a:r>
            <a:r>
              <a:rPr lang="fr-FR" b="1" baseline="0"/>
              <a:t> Granulometry</a:t>
            </a:r>
            <a:endParaRPr lang="fr-FR" b="1"/>
          </a:p>
        </c:rich>
      </c:tx>
      <c:layout>
        <c:manualLayout>
          <c:xMode val="edge"/>
          <c:yMode val="edge"/>
          <c:x val="0.35734192316869484"/>
          <c:y val="1.9914651493598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665514537955483E-2"/>
          <c:y val="0.10642958748221905"/>
          <c:w val="0.88964502164502157"/>
          <c:h val="0.71195819939292804"/>
        </c:manualLayout>
      </c:layout>
      <c:lineChart>
        <c:grouping val="standard"/>
        <c:varyColors val="0"/>
        <c:ser>
          <c:idx val="0"/>
          <c:order val="0"/>
          <c:tx>
            <c:v>RepA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A!$AV$3:$AV$19</c:f>
              <c:numCache>
                <c:formatCode>General</c:formatCode>
                <c:ptCount val="17"/>
                <c:pt idx="0">
                  <c:v>0.21701456803268324</c:v>
                </c:pt>
                <c:pt idx="1">
                  <c:v>0.25604125390460325</c:v>
                </c:pt>
                <c:pt idx="2">
                  <c:v>0.23288360321427704</c:v>
                </c:pt>
                <c:pt idx="3">
                  <c:v>0.21636847545795831</c:v>
                </c:pt>
                <c:pt idx="4">
                  <c:v>0.21549283030510699</c:v>
                </c:pt>
                <c:pt idx="5">
                  <c:v>0.20896240168101585</c:v>
                </c:pt>
                <c:pt idx="6">
                  <c:v>0.21522036576670328</c:v>
                </c:pt>
                <c:pt idx="7">
                  <c:v>0.20800249131566587</c:v>
                </c:pt>
                <c:pt idx="8">
                  <c:v>0.20173817429020671</c:v>
                </c:pt>
                <c:pt idx="9">
                  <c:v>0.21039118473415919</c:v>
                </c:pt>
                <c:pt idx="10">
                  <c:v>0.20971057904991716</c:v>
                </c:pt>
                <c:pt idx="11">
                  <c:v>0.21061135954605828</c:v>
                </c:pt>
                <c:pt idx="12">
                  <c:v>0.21613294538550115</c:v>
                </c:pt>
                <c:pt idx="13">
                  <c:v>0.22330201922038656</c:v>
                </c:pt>
                <c:pt idx="14">
                  <c:v>0.2216808275534857</c:v>
                </c:pt>
                <c:pt idx="15">
                  <c:v>0.23712651832805812</c:v>
                </c:pt>
                <c:pt idx="16">
                  <c:v>0.23759908630433027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2-DF4F-9C12-69E9C2791DE6}"/>
            </c:ext>
          </c:extLst>
        </c:ser>
        <c:ser>
          <c:idx val="1"/>
          <c:order val="1"/>
          <c:tx>
            <c:v>Rep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F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B!$AV$3:$AV$19</c:f>
              <c:numCache>
                <c:formatCode>General</c:formatCode>
                <c:ptCount val="17"/>
                <c:pt idx="0">
                  <c:v>0.22345502319625318</c:v>
                </c:pt>
                <c:pt idx="1">
                  <c:v>0.26515152603695935</c:v>
                </c:pt>
                <c:pt idx="2">
                  <c:v>0.27050592604135731</c:v>
                </c:pt>
                <c:pt idx="3">
                  <c:v>0.20922967763000919</c:v>
                </c:pt>
                <c:pt idx="4">
                  <c:v>0.23126832394289074</c:v>
                </c:pt>
                <c:pt idx="5">
                  <c:v>0.218360332672524</c:v>
                </c:pt>
                <c:pt idx="6">
                  <c:v>0.20782707788051766</c:v>
                </c:pt>
                <c:pt idx="7">
                  <c:v>0.2122037035776751</c:v>
                </c:pt>
                <c:pt idx="8">
                  <c:v>0.20527029385784734</c:v>
                </c:pt>
                <c:pt idx="9">
                  <c:v>0.21453149266058852</c:v>
                </c:pt>
                <c:pt idx="10">
                  <c:v>0.21655015306244063</c:v>
                </c:pt>
                <c:pt idx="11">
                  <c:v>0.22197248009670686</c:v>
                </c:pt>
                <c:pt idx="12">
                  <c:v>0.22251675123648751</c:v>
                </c:pt>
                <c:pt idx="13">
                  <c:v>0.22788834092500423</c:v>
                </c:pt>
                <c:pt idx="14">
                  <c:v>0.22357969761893171</c:v>
                </c:pt>
                <c:pt idx="15">
                  <c:v>0.23379041689801416</c:v>
                </c:pt>
                <c:pt idx="16">
                  <c:v>0.2371251459277329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2-DF4F-9C12-69E9C2791DE6}"/>
            </c:ext>
          </c:extLst>
        </c:ser>
        <c:ser>
          <c:idx val="2"/>
          <c:order val="2"/>
          <c:tx>
            <c:v>Rep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2D05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'C'!$AV$3:$AV$19</c:f>
              <c:numCache>
                <c:formatCode>General</c:formatCode>
                <c:ptCount val="17"/>
                <c:pt idx="0">
                  <c:v>0.2177089785095021</c:v>
                </c:pt>
                <c:pt idx="1">
                  <c:v>0.25621498224290784</c:v>
                </c:pt>
                <c:pt idx="2">
                  <c:v>0.24145970484082196</c:v>
                </c:pt>
                <c:pt idx="3">
                  <c:v>0.22919743425838165</c:v>
                </c:pt>
                <c:pt idx="4">
                  <c:v>0.21662458477643967</c:v>
                </c:pt>
                <c:pt idx="5">
                  <c:v>0.22436006818870843</c:v>
                </c:pt>
                <c:pt idx="6">
                  <c:v>0.20876153859475935</c:v>
                </c:pt>
                <c:pt idx="7">
                  <c:v>0.20733456018160937</c:v>
                </c:pt>
                <c:pt idx="8">
                  <c:v>0.21153986819102794</c:v>
                </c:pt>
                <c:pt idx="9">
                  <c:v>0.21079952659609444</c:v>
                </c:pt>
                <c:pt idx="10">
                  <c:v>0.20665288332015891</c:v>
                </c:pt>
                <c:pt idx="11">
                  <c:v>0.21417680550272203</c:v>
                </c:pt>
                <c:pt idx="12">
                  <c:v>0.21417657581212948</c:v>
                </c:pt>
                <c:pt idx="13">
                  <c:v>0.22335640456039216</c:v>
                </c:pt>
                <c:pt idx="14">
                  <c:v>0.22611661320659002</c:v>
                </c:pt>
                <c:pt idx="15">
                  <c:v>0.23886682014142657</c:v>
                </c:pt>
                <c:pt idx="16">
                  <c:v>0.23963087107134345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2-DF4F-9C12-69E9C2791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8351"/>
        <c:axId val="20637759"/>
      </c:lineChart>
      <c:dateAx>
        <c:axId val="2062835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37759"/>
        <c:crosses val="autoZero"/>
        <c:auto val="1"/>
        <c:lblOffset val="100"/>
        <c:baseTimeUnit val="days"/>
      </c:dateAx>
      <c:valAx>
        <c:axId val="20637759"/>
        <c:scaling>
          <c:orientation val="minMax"/>
          <c:min val="0.19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2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Ratio PC5.5-H =</a:t>
            </a:r>
            <a:r>
              <a:rPr lang="fr-FR" b="1" baseline="0"/>
              <a:t> Chlorophyll A</a:t>
            </a:r>
            <a:endParaRPr lang="fr-FR" b="1"/>
          </a:p>
        </c:rich>
      </c:tx>
      <c:layout>
        <c:manualLayout>
          <c:xMode val="edge"/>
          <c:yMode val="edge"/>
          <c:x val="0.34868391451068614"/>
          <c:y val="2.2759601706970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665514537955483E-2"/>
          <c:y val="0.10642958748221905"/>
          <c:w val="0.88964502164502157"/>
          <c:h val="0.71195819939292793"/>
        </c:manualLayout>
      </c:layout>
      <c:lineChart>
        <c:grouping val="standard"/>
        <c:varyColors val="0"/>
        <c:ser>
          <c:idx val="0"/>
          <c:order val="0"/>
          <c:tx>
            <c:v>RepA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>
                  <a:alpha val="50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276170024201522E-3"/>
                  <c:y val="0.299403680514331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A!$AZ$3:$AZ$19</c:f>
              <c:numCache>
                <c:formatCode>General</c:formatCode>
                <c:ptCount val="17"/>
                <c:pt idx="0">
                  <c:v>10.616966454408194</c:v>
                </c:pt>
                <c:pt idx="1">
                  <c:v>11.14511882089923</c:v>
                </c:pt>
                <c:pt idx="2">
                  <c:v>8.6478617668214213</c:v>
                </c:pt>
                <c:pt idx="3">
                  <c:v>11.460651603273456</c:v>
                </c:pt>
                <c:pt idx="4">
                  <c:v>11.686388962589547</c:v>
                </c:pt>
                <c:pt idx="5">
                  <c:v>11.628625018034915</c:v>
                </c:pt>
                <c:pt idx="6">
                  <c:v>11.833705823566822</c:v>
                </c:pt>
                <c:pt idx="7">
                  <c:v>11.925768356194528</c:v>
                </c:pt>
                <c:pt idx="8">
                  <c:v>11.613237786456416</c:v>
                </c:pt>
                <c:pt idx="9">
                  <c:v>12.274161771680834</c:v>
                </c:pt>
                <c:pt idx="10">
                  <c:v>12.245237525537906</c:v>
                </c:pt>
                <c:pt idx="11">
                  <c:v>12.115250521170299</c:v>
                </c:pt>
                <c:pt idx="12">
                  <c:v>11.514306460814991</c:v>
                </c:pt>
                <c:pt idx="13">
                  <c:v>12.581554614979382</c:v>
                </c:pt>
                <c:pt idx="14">
                  <c:v>12.375840807174887</c:v>
                </c:pt>
                <c:pt idx="15">
                  <c:v>13.248972485955813</c:v>
                </c:pt>
                <c:pt idx="16">
                  <c:v>12.999575941762666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B-4F43-83BC-AB355D53F1F4}"/>
            </c:ext>
          </c:extLst>
        </c:ser>
        <c:ser>
          <c:idx val="1"/>
          <c:order val="1"/>
          <c:tx>
            <c:v>Rep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F0">
                  <a:alpha val="50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02144050175554E-3"/>
                  <c:y val="0.430866589755939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B!$AZ$3:$AZ$19</c:f>
              <c:numCache>
                <c:formatCode>General</c:formatCode>
                <c:ptCount val="17"/>
                <c:pt idx="0">
                  <c:v>10.726053829408272</c:v>
                </c:pt>
                <c:pt idx="1">
                  <c:v>11.161782691649135</c:v>
                </c:pt>
                <c:pt idx="2">
                  <c:v>9.6939196268631509</c:v>
                </c:pt>
                <c:pt idx="3">
                  <c:v>10.656602549879674</c:v>
                </c:pt>
                <c:pt idx="4">
                  <c:v>12.303382103477524</c:v>
                </c:pt>
                <c:pt idx="5">
                  <c:v>11.775468304293319</c:v>
                </c:pt>
                <c:pt idx="6">
                  <c:v>11.365031510506528</c:v>
                </c:pt>
                <c:pt idx="7">
                  <c:v>11.914335312928277</c:v>
                </c:pt>
                <c:pt idx="8">
                  <c:v>11.786473394360231</c:v>
                </c:pt>
                <c:pt idx="9">
                  <c:v>12.397904816761466</c:v>
                </c:pt>
                <c:pt idx="10">
                  <c:v>12.433254925022052</c:v>
                </c:pt>
                <c:pt idx="11">
                  <c:v>12.443880297104309</c:v>
                </c:pt>
                <c:pt idx="12">
                  <c:v>11.824652392732235</c:v>
                </c:pt>
                <c:pt idx="13">
                  <c:v>13.028522543184259</c:v>
                </c:pt>
                <c:pt idx="14">
                  <c:v>12.339641874214266</c:v>
                </c:pt>
                <c:pt idx="15">
                  <c:v>13.068334989610623</c:v>
                </c:pt>
                <c:pt idx="16">
                  <c:v>12.946416082348511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B-4F43-83BC-AB355D53F1F4}"/>
            </c:ext>
          </c:extLst>
        </c:ser>
        <c:ser>
          <c:idx val="2"/>
          <c:order val="2"/>
          <c:tx>
            <c:v>Rep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2D050">
                  <a:alpha val="50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58646078331118E-5"/>
                  <c:y val="0.53497160650082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'C'!$AZ$3:$AZ$19</c:f>
              <c:numCache>
                <c:formatCode>General</c:formatCode>
                <c:ptCount val="17"/>
                <c:pt idx="0">
                  <c:v>10.52079993388976</c:v>
                </c:pt>
                <c:pt idx="1">
                  <c:v>10.81108832964053</c:v>
                </c:pt>
                <c:pt idx="2">
                  <c:v>8.7191706013812116</c:v>
                </c:pt>
                <c:pt idx="3">
                  <c:v>11.320136389467702</c:v>
                </c:pt>
                <c:pt idx="4">
                  <c:v>12.066362652376812</c:v>
                </c:pt>
                <c:pt idx="5">
                  <c:v>12.323608674419868</c:v>
                </c:pt>
                <c:pt idx="6">
                  <c:v>12.017215107208941</c:v>
                </c:pt>
                <c:pt idx="7">
                  <c:v>12.131157736843067</c:v>
                </c:pt>
                <c:pt idx="8">
                  <c:v>11.989340054139831</c:v>
                </c:pt>
                <c:pt idx="9">
                  <c:v>12.152024544385656</c:v>
                </c:pt>
                <c:pt idx="10">
                  <c:v>12.086744549719437</c:v>
                </c:pt>
                <c:pt idx="11">
                  <c:v>12.15592746559633</c:v>
                </c:pt>
                <c:pt idx="12">
                  <c:v>11.29476459130902</c:v>
                </c:pt>
                <c:pt idx="13">
                  <c:v>12.564572057609393</c:v>
                </c:pt>
                <c:pt idx="14">
                  <c:v>12.411197219315826</c:v>
                </c:pt>
                <c:pt idx="15">
                  <c:v>13.122910895033225</c:v>
                </c:pt>
                <c:pt idx="16">
                  <c:v>12.977627517796291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EB-4F43-83BC-AB355D53F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8351"/>
        <c:axId val="20637759"/>
      </c:lineChart>
      <c:dateAx>
        <c:axId val="2062835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37759"/>
        <c:crosses val="autoZero"/>
        <c:auto val="1"/>
        <c:lblOffset val="100"/>
        <c:baseTimeUnit val="days"/>
      </c:dateAx>
      <c:valAx>
        <c:axId val="20637759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2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Ratio FSC-H =</a:t>
            </a:r>
            <a:r>
              <a:rPr lang="fr-FR" b="1" baseline="0"/>
              <a:t> Size</a:t>
            </a:r>
            <a:endParaRPr lang="fr-FR" b="1"/>
          </a:p>
        </c:rich>
      </c:tx>
      <c:layout>
        <c:manualLayout>
          <c:xMode val="edge"/>
          <c:yMode val="edge"/>
          <c:x val="0.40409516992194155"/>
          <c:y val="2.2759601706970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665514537955483E-2"/>
          <c:y val="0.10642958748221905"/>
          <c:w val="0.88964502164502157"/>
          <c:h val="0.71195819939292804"/>
        </c:manualLayout>
      </c:layout>
      <c:lineChart>
        <c:grouping val="standard"/>
        <c:varyColors val="0"/>
        <c:ser>
          <c:idx val="0"/>
          <c:order val="0"/>
          <c:tx>
            <c:v>RepA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A!$AR$3:$AR$19</c:f>
              <c:numCache>
                <c:formatCode>General</c:formatCode>
                <c:ptCount val="17"/>
                <c:pt idx="0">
                  <c:v>0.57454278369445466</c:v>
                </c:pt>
                <c:pt idx="1">
                  <c:v>0.61712976515500007</c:v>
                </c:pt>
                <c:pt idx="2">
                  <c:v>0.57472822232658716</c:v>
                </c:pt>
                <c:pt idx="3">
                  <c:v>0.5730708899570337</c:v>
                </c:pt>
                <c:pt idx="4">
                  <c:v>0.56599553905116984</c:v>
                </c:pt>
                <c:pt idx="5">
                  <c:v>0.56199035079082349</c:v>
                </c:pt>
                <c:pt idx="6">
                  <c:v>0.57008574017982783</c:v>
                </c:pt>
                <c:pt idx="7">
                  <c:v>0.57110712276660147</c:v>
                </c:pt>
                <c:pt idx="8">
                  <c:v>0.56177521990002521</c:v>
                </c:pt>
                <c:pt idx="9">
                  <c:v>0.56065103378870162</c:v>
                </c:pt>
                <c:pt idx="10">
                  <c:v>0.56549941386876668</c:v>
                </c:pt>
                <c:pt idx="11">
                  <c:v>0.56698559581491537</c:v>
                </c:pt>
                <c:pt idx="12">
                  <c:v>0.55955000633029683</c:v>
                </c:pt>
                <c:pt idx="13">
                  <c:v>0.5808084874182613</c:v>
                </c:pt>
                <c:pt idx="14">
                  <c:v>0.57965087580213304</c:v>
                </c:pt>
                <c:pt idx="15">
                  <c:v>0.60709681654869463</c:v>
                </c:pt>
                <c:pt idx="16">
                  <c:v>0.61215400260110986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8-A440-9A71-EA273FFA3389}"/>
            </c:ext>
          </c:extLst>
        </c:ser>
        <c:ser>
          <c:idx val="1"/>
          <c:order val="1"/>
          <c:tx>
            <c:v>Rep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F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B!$AR$3:$AR$19</c:f>
              <c:numCache>
                <c:formatCode>General</c:formatCode>
                <c:ptCount val="17"/>
                <c:pt idx="0">
                  <c:v>0.58739109652711174</c:v>
                </c:pt>
                <c:pt idx="1">
                  <c:v>0.65515339395744898</c:v>
                </c:pt>
                <c:pt idx="2">
                  <c:v>0.64923257647186117</c:v>
                </c:pt>
                <c:pt idx="3">
                  <c:v>0.55880440301809242</c:v>
                </c:pt>
                <c:pt idx="4">
                  <c:v>0.6257416205739138</c:v>
                </c:pt>
                <c:pt idx="5">
                  <c:v>0.56705602552909662</c:v>
                </c:pt>
                <c:pt idx="6">
                  <c:v>0.56444142957051047</c:v>
                </c:pt>
                <c:pt idx="7">
                  <c:v>0.58059166612278323</c:v>
                </c:pt>
                <c:pt idx="8">
                  <c:v>0.57570316635388097</c:v>
                </c:pt>
                <c:pt idx="9">
                  <c:v>0.58538974919247577</c:v>
                </c:pt>
                <c:pt idx="10">
                  <c:v>0.58949507768841425</c:v>
                </c:pt>
                <c:pt idx="11">
                  <c:v>0.6035548639995213</c:v>
                </c:pt>
                <c:pt idx="12">
                  <c:v>0.59284741568833377</c:v>
                </c:pt>
                <c:pt idx="13">
                  <c:v>0.58306298512484078</c:v>
                </c:pt>
                <c:pt idx="14">
                  <c:v>0.59777505583121027</c:v>
                </c:pt>
                <c:pt idx="15">
                  <c:v>0.59125228981874278</c:v>
                </c:pt>
                <c:pt idx="16">
                  <c:v>0.60394837720419114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8-A440-9A71-EA273FFA3389}"/>
            </c:ext>
          </c:extLst>
        </c:ser>
        <c:ser>
          <c:idx val="2"/>
          <c:order val="2"/>
          <c:tx>
            <c:v>Rep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2D05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'C'!$AR$3:$AR$19</c:f>
              <c:numCache>
                <c:formatCode>General</c:formatCode>
                <c:ptCount val="17"/>
                <c:pt idx="0">
                  <c:v>0.56041885993446816</c:v>
                </c:pt>
                <c:pt idx="1">
                  <c:v>0.61588051014802614</c:v>
                </c:pt>
                <c:pt idx="2">
                  <c:v>0.57420649114349254</c:v>
                </c:pt>
                <c:pt idx="3">
                  <c:v>0.57920546537787043</c:v>
                </c:pt>
                <c:pt idx="4">
                  <c:v>0.58426507696753571</c:v>
                </c:pt>
                <c:pt idx="5">
                  <c:v>0.59897454349194934</c:v>
                </c:pt>
                <c:pt idx="6">
                  <c:v>0.57514347522929221</c:v>
                </c:pt>
                <c:pt idx="7">
                  <c:v>0.56577395085732374</c:v>
                </c:pt>
                <c:pt idx="8">
                  <c:v>0.57855990500122945</c:v>
                </c:pt>
                <c:pt idx="9">
                  <c:v>0.56774656902370058</c:v>
                </c:pt>
                <c:pt idx="10">
                  <c:v>0.56426944061394568</c:v>
                </c:pt>
                <c:pt idx="11">
                  <c:v>0.57489296297073067</c:v>
                </c:pt>
                <c:pt idx="12">
                  <c:v>0.56566930632983692</c:v>
                </c:pt>
                <c:pt idx="13">
                  <c:v>0.56485623576795441</c:v>
                </c:pt>
                <c:pt idx="14">
                  <c:v>0.57483506923467287</c:v>
                </c:pt>
                <c:pt idx="15">
                  <c:v>0.59596629675544732</c:v>
                </c:pt>
                <c:pt idx="16">
                  <c:v>0.60388099480437807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98-A440-9A71-EA273FFA3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8351"/>
        <c:axId val="20637759"/>
      </c:lineChart>
      <c:dateAx>
        <c:axId val="2062835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37759"/>
        <c:crosses val="autoZero"/>
        <c:auto val="1"/>
        <c:lblOffset val="100"/>
        <c:baseTimeUnit val="days"/>
      </c:dateAx>
      <c:valAx>
        <c:axId val="20637759"/>
        <c:scaling>
          <c:orientation val="minMax"/>
          <c:max val="0.66000000000000014"/>
          <c:min val="0.5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2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Ratio FITC-H =</a:t>
            </a:r>
            <a:r>
              <a:rPr lang="fr-FR" b="1" baseline="0"/>
              <a:t> Green flup of SYBR Green for viruses -&gt; useless here I suppose</a:t>
            </a:r>
            <a:endParaRPr lang="fr-FR" b="1"/>
          </a:p>
        </c:rich>
      </c:tx>
      <c:layout>
        <c:manualLayout>
          <c:xMode val="edge"/>
          <c:yMode val="edge"/>
          <c:x val="0.1289957391689675"/>
          <c:y val="1.9914651493598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665514537955483E-2"/>
          <c:y val="0.10642958748221905"/>
          <c:w val="0.88964502164502157"/>
          <c:h val="0.71195819939292804"/>
        </c:manualLayout>
      </c:layout>
      <c:lineChart>
        <c:grouping val="standard"/>
        <c:varyColors val="0"/>
        <c:ser>
          <c:idx val="0"/>
          <c:order val="0"/>
          <c:tx>
            <c:v>RepA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A!$AO$3:$AO$19</c:f>
              <c:numCache>
                <c:formatCode>General</c:formatCode>
                <c:ptCount val="17"/>
                <c:pt idx="0">
                  <c:v>1.8763384533118745E-3</c:v>
                </c:pt>
                <c:pt idx="1">
                  <c:v>2.6124448755803012E-3</c:v>
                </c:pt>
                <c:pt idx="2">
                  <c:v>7.3226294881765857E-3</c:v>
                </c:pt>
                <c:pt idx="3">
                  <c:v>3.3778087415392657E-3</c:v>
                </c:pt>
                <c:pt idx="4">
                  <c:v>2.2656750233955572E-3</c:v>
                </c:pt>
                <c:pt idx="5">
                  <c:v>2.2195344375153417E-3</c:v>
                </c:pt>
                <c:pt idx="6">
                  <c:v>2.1528687352272559E-3</c:v>
                </c:pt>
                <c:pt idx="7">
                  <c:v>2.007715799063876E-3</c:v>
                </c:pt>
                <c:pt idx="8">
                  <c:v>2.2009819258827102E-3</c:v>
                </c:pt>
                <c:pt idx="9">
                  <c:v>2.4545662040657491E-3</c:v>
                </c:pt>
                <c:pt idx="10">
                  <c:v>2.2783686315713163E-3</c:v>
                </c:pt>
                <c:pt idx="11">
                  <c:v>2.1943334100658811E-3</c:v>
                </c:pt>
                <c:pt idx="12">
                  <c:v>2.9300153765852697E-3</c:v>
                </c:pt>
                <c:pt idx="13">
                  <c:v>2.4358951124568481E-3</c:v>
                </c:pt>
                <c:pt idx="14">
                  <c:v>2.4582648988478693E-3</c:v>
                </c:pt>
                <c:pt idx="15">
                  <c:v>2.2384545627724419E-3</c:v>
                </c:pt>
                <c:pt idx="16">
                  <c:v>2.1014219668272554E-3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F-284E-9980-A4307E246079}"/>
            </c:ext>
          </c:extLst>
        </c:ser>
        <c:ser>
          <c:idx val="1"/>
          <c:order val="1"/>
          <c:tx>
            <c:v>Rep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F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B!$AO$3:$AO$19</c:f>
              <c:numCache>
                <c:formatCode>General</c:formatCode>
                <c:ptCount val="17"/>
                <c:pt idx="0">
                  <c:v>2.0357778431702258E-3</c:v>
                </c:pt>
                <c:pt idx="1">
                  <c:v>5.2459905674868837E-3</c:v>
                </c:pt>
                <c:pt idx="2">
                  <c:v>8.7683847408455175E-3</c:v>
                </c:pt>
                <c:pt idx="3">
                  <c:v>2.6146083048192133E-3</c:v>
                </c:pt>
                <c:pt idx="4">
                  <c:v>2.2002741717345501E-3</c:v>
                </c:pt>
                <c:pt idx="5">
                  <c:v>2.1553827289351644E-3</c:v>
                </c:pt>
                <c:pt idx="6">
                  <c:v>2.1306506896927122E-3</c:v>
                </c:pt>
                <c:pt idx="7">
                  <c:v>2.6474764623451116E-3</c:v>
                </c:pt>
                <c:pt idx="8">
                  <c:v>2.1251187815671726E-3</c:v>
                </c:pt>
                <c:pt idx="9">
                  <c:v>2.246907323280901E-3</c:v>
                </c:pt>
                <c:pt idx="10">
                  <c:v>2.4107241954690046E-3</c:v>
                </c:pt>
                <c:pt idx="11">
                  <c:v>2.1500304455847386E-3</c:v>
                </c:pt>
                <c:pt idx="12">
                  <c:v>2.8106547977056599E-3</c:v>
                </c:pt>
                <c:pt idx="13">
                  <c:v>2.2171328557397348E-3</c:v>
                </c:pt>
                <c:pt idx="14">
                  <c:v>3.1188769308391432E-3</c:v>
                </c:pt>
                <c:pt idx="15">
                  <c:v>2.1400694005359344E-3</c:v>
                </c:pt>
                <c:pt idx="16">
                  <c:v>2.0831861667573908E-3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0F-284E-9980-A4307E246079}"/>
            </c:ext>
          </c:extLst>
        </c:ser>
        <c:ser>
          <c:idx val="2"/>
          <c:order val="2"/>
          <c:tx>
            <c:v>Rep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2D050">
                  <a:alpha val="50000"/>
                </a:srgbClr>
              </a:solidFill>
              <a:ln w="9525">
                <a:noFill/>
              </a:ln>
              <a:effectLst/>
            </c:spPr>
          </c:marker>
          <c:cat>
            <c:numRef>
              <c:f>A!$C$3:$C$19</c:f>
              <c:numCache>
                <c:formatCode>m/d/yy</c:formatCode>
                <c:ptCount val="17"/>
                <c:pt idx="0">
                  <c:v>46074.479166666672</c:v>
                </c:pt>
                <c:pt idx="1">
                  <c:v>46075.479166666672</c:v>
                </c:pt>
                <c:pt idx="2">
                  <c:v>46076.479166666672</c:v>
                </c:pt>
                <c:pt idx="3">
                  <c:v>46079.479166666672</c:v>
                </c:pt>
                <c:pt idx="4">
                  <c:v>46080.479166666672</c:v>
                </c:pt>
                <c:pt idx="5">
                  <c:v>46081.479166666672</c:v>
                </c:pt>
                <c:pt idx="6">
                  <c:v>46082.479166666672</c:v>
                </c:pt>
                <c:pt idx="7">
                  <c:v>46083.479166666672</c:v>
                </c:pt>
                <c:pt idx="8">
                  <c:v>46085.479166666672</c:v>
                </c:pt>
                <c:pt idx="9">
                  <c:v>46086.479166666672</c:v>
                </c:pt>
                <c:pt idx="10">
                  <c:v>46087.479166666672</c:v>
                </c:pt>
                <c:pt idx="11">
                  <c:v>46088.479166666672</c:v>
                </c:pt>
                <c:pt idx="12">
                  <c:v>46089.479166666672</c:v>
                </c:pt>
                <c:pt idx="13">
                  <c:v>46093.479166666672</c:v>
                </c:pt>
                <c:pt idx="14">
                  <c:v>46094.479166666672</c:v>
                </c:pt>
                <c:pt idx="15">
                  <c:v>46095.479166666672</c:v>
                </c:pt>
                <c:pt idx="16">
                  <c:v>46096.479166666672</c:v>
                </c:pt>
              </c:numCache>
            </c:numRef>
          </c:cat>
          <c:val>
            <c:numRef>
              <c:f>'C'!$AO$3:$AO$19</c:f>
              <c:numCache>
                <c:formatCode>General</c:formatCode>
                <c:ptCount val="17"/>
                <c:pt idx="0">
                  <c:v>1.8857706600943368E-3</c:v>
                </c:pt>
                <c:pt idx="1">
                  <c:v>2.7206821097511893E-3</c:v>
                </c:pt>
                <c:pt idx="2">
                  <c:v>7.7162073598149332E-3</c:v>
                </c:pt>
                <c:pt idx="3">
                  <c:v>2.7984364762808031E-3</c:v>
                </c:pt>
                <c:pt idx="4">
                  <c:v>3.9834431314173781E-2</c:v>
                </c:pt>
                <c:pt idx="5">
                  <c:v>2.1801416692447222E-3</c:v>
                </c:pt>
                <c:pt idx="6">
                  <c:v>2.0953408264475235E-3</c:v>
                </c:pt>
                <c:pt idx="7">
                  <c:v>2.689484154323516E-3</c:v>
                </c:pt>
                <c:pt idx="8">
                  <c:v>2.1887796194575357E-3</c:v>
                </c:pt>
                <c:pt idx="9">
                  <c:v>2.3494486294961354E-3</c:v>
                </c:pt>
                <c:pt idx="10">
                  <c:v>2.1793848464941711E-3</c:v>
                </c:pt>
                <c:pt idx="11">
                  <c:v>2.1949948864731388E-3</c:v>
                </c:pt>
                <c:pt idx="12">
                  <c:v>2.9794120974942061E-3</c:v>
                </c:pt>
                <c:pt idx="13">
                  <c:v>2.1240912014145663E-3</c:v>
                </c:pt>
                <c:pt idx="14">
                  <c:v>2.3756729576868401E-3</c:v>
                </c:pt>
                <c:pt idx="15">
                  <c:v>2.1609917715901743E-3</c:v>
                </c:pt>
                <c:pt idx="16">
                  <c:v>2.1030286733252634E-3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0F-284E-9980-A4307E246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8351"/>
        <c:axId val="20637759"/>
      </c:lineChart>
      <c:dateAx>
        <c:axId val="2062835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37759"/>
        <c:crosses val="autoZero"/>
        <c:auto val="1"/>
        <c:lblOffset val="100"/>
        <c:baseTimeUnit val="days"/>
      </c:dateAx>
      <c:valAx>
        <c:axId val="2063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2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19</xdr:row>
      <xdr:rowOff>184150</xdr:rowOff>
    </xdr:from>
    <xdr:to>
      <xdr:col>44</xdr:col>
      <xdr:colOff>177800</xdr:colOff>
      <xdr:row>43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4347E4C-895E-AD71-C91A-FAE83B91C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177800</xdr:colOff>
      <xdr:row>20</xdr:row>
      <xdr:rowOff>0</xdr:rowOff>
    </xdr:from>
    <xdr:to>
      <xdr:col>55</xdr:col>
      <xdr:colOff>107950</xdr:colOff>
      <xdr:row>43</xdr:row>
      <xdr:rowOff>82550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8DB6FE8-482C-7C42-AA58-8C79C5A3E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101600</xdr:colOff>
      <xdr:row>20</xdr:row>
      <xdr:rowOff>0</xdr:rowOff>
    </xdr:from>
    <xdr:to>
      <xdr:col>66</xdr:col>
      <xdr:colOff>31750</xdr:colOff>
      <xdr:row>43</xdr:row>
      <xdr:rowOff>82550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F872C27-66A9-5442-9EAB-C0CA94C63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177800</xdr:colOff>
      <xdr:row>43</xdr:row>
      <xdr:rowOff>76200</xdr:rowOff>
    </xdr:from>
    <xdr:to>
      <xdr:col>55</xdr:col>
      <xdr:colOff>107950</xdr:colOff>
      <xdr:row>66</xdr:row>
      <xdr:rowOff>158750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50B6348-0CBE-634E-AE86-0B2E6F81E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55</xdr:col>
      <xdr:colOff>101600</xdr:colOff>
      <xdr:row>43</xdr:row>
      <xdr:rowOff>76200</xdr:rowOff>
    </xdr:from>
    <xdr:to>
      <xdr:col>66</xdr:col>
      <xdr:colOff>31750</xdr:colOff>
      <xdr:row>66</xdr:row>
      <xdr:rowOff>158750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28D3337-0F8E-E046-BB90-A3533905A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tabSelected="1" topLeftCell="A19" workbookViewId="0">
      <selection activeCell="AQ54" sqref="AQ54"/>
    </sheetView>
  </sheetViews>
  <sheetFormatPr baseColWidth="10" defaultColWidth="8.83203125" defaultRowHeight="15" outlineLevelCol="1" x14ac:dyDescent="0.2"/>
  <cols>
    <col min="1" max="1" width="12.5" customWidth="1"/>
    <col min="2" max="2" width="6.6640625" style="1" customWidth="1"/>
    <col min="3" max="3" width="10.5" style="3" customWidth="1"/>
    <col min="4" max="4" width="12.5" style="3" customWidth="1"/>
    <col min="5" max="38" width="6.6640625" hidden="1" customWidth="1" outlineLevel="1"/>
    <col min="39" max="39" width="8.83203125" collapsed="1"/>
  </cols>
  <sheetData>
    <row r="1" spans="1:55" x14ac:dyDescent="0.2">
      <c r="E1" s="6" t="s">
        <v>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6" t="s">
        <v>0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8"/>
      <c r="AM1" s="6" t="s">
        <v>21</v>
      </c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8"/>
    </row>
    <row r="2" spans="1:55" x14ac:dyDescent="0.2">
      <c r="C2" s="3" t="s">
        <v>3</v>
      </c>
      <c r="D2" s="3" t="s">
        <v>2</v>
      </c>
      <c r="E2" s="9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1" t="s">
        <v>20</v>
      </c>
      <c r="V2" s="9" t="s">
        <v>4</v>
      </c>
      <c r="W2" s="10" t="s">
        <v>5</v>
      </c>
      <c r="X2" s="10" t="s">
        <v>6</v>
      </c>
      <c r="Y2" s="10" t="s">
        <v>7</v>
      </c>
      <c r="Z2" s="10" t="s">
        <v>8</v>
      </c>
      <c r="AA2" s="10" t="s">
        <v>9</v>
      </c>
      <c r="AB2" s="10" t="s">
        <v>10</v>
      </c>
      <c r="AC2" s="10" t="s">
        <v>11</v>
      </c>
      <c r="AD2" s="10" t="s">
        <v>12</v>
      </c>
      <c r="AE2" s="10" t="s">
        <v>13</v>
      </c>
      <c r="AF2" s="10" t="s">
        <v>14</v>
      </c>
      <c r="AG2" s="10" t="s">
        <v>15</v>
      </c>
      <c r="AH2" s="10" t="s">
        <v>16</v>
      </c>
      <c r="AI2" s="10" t="s">
        <v>17</v>
      </c>
      <c r="AJ2" s="10" t="s">
        <v>18</v>
      </c>
      <c r="AK2" s="10" t="s">
        <v>19</v>
      </c>
      <c r="AL2" s="11" t="s">
        <v>20</v>
      </c>
      <c r="AM2" t="s">
        <v>4</v>
      </c>
      <c r="AN2" t="s">
        <v>5</v>
      </c>
      <c r="AO2" s="5" t="s">
        <v>6</v>
      </c>
      <c r="AP2" t="s">
        <v>7</v>
      </c>
      <c r="AQ2" t="s">
        <v>8</v>
      </c>
      <c r="AR2" s="5" t="s">
        <v>9</v>
      </c>
      <c r="AS2" t="s">
        <v>10</v>
      </c>
      <c r="AT2" t="s">
        <v>11</v>
      </c>
      <c r="AU2" t="s">
        <v>12</v>
      </c>
      <c r="AV2" s="5" t="s">
        <v>13</v>
      </c>
      <c r="AW2" t="s">
        <v>14</v>
      </c>
      <c r="AX2" t="s">
        <v>15</v>
      </c>
      <c r="AY2" t="s">
        <v>16</v>
      </c>
      <c r="AZ2" s="5" t="s">
        <v>17</v>
      </c>
      <c r="BA2" t="s">
        <v>18</v>
      </c>
      <c r="BB2" t="s">
        <v>19</v>
      </c>
      <c r="BC2" t="s">
        <v>20</v>
      </c>
    </row>
    <row r="3" spans="1:55" x14ac:dyDescent="0.2">
      <c r="A3" s="3">
        <v>46072.708333333336</v>
      </c>
      <c r="B3" s="1">
        <f>18.5+24</f>
        <v>42.5</v>
      </c>
      <c r="C3" s="3">
        <f>B3/24+$A$3</f>
        <v>46074.479166666672</v>
      </c>
      <c r="D3" s="4">
        <v>1900000</v>
      </c>
      <c r="E3" s="12">
        <v>10308</v>
      </c>
      <c r="F3" s="13">
        <v>171.83</v>
      </c>
      <c r="G3" s="13">
        <v>430.9</v>
      </c>
      <c r="H3" s="13">
        <v>207.2</v>
      </c>
      <c r="I3" s="14">
        <v>0.94130000000000003</v>
      </c>
      <c r="J3" s="13">
        <v>19556</v>
      </c>
      <c r="K3" s="13">
        <v>18605.3</v>
      </c>
      <c r="L3" s="14">
        <v>0.36009999999999998</v>
      </c>
      <c r="M3" s="13">
        <v>7042.6</v>
      </c>
      <c r="N3" s="13">
        <v>14756.6</v>
      </c>
      <c r="O3" s="13">
        <v>13346.3</v>
      </c>
      <c r="P3" s="14">
        <v>0.47710000000000002</v>
      </c>
      <c r="Q3" s="13">
        <v>7040.7</v>
      </c>
      <c r="R3" s="13">
        <v>64691.3</v>
      </c>
      <c r="S3" s="13">
        <v>62171.3</v>
      </c>
      <c r="T3" s="14">
        <v>0.31359999999999999</v>
      </c>
      <c r="U3" s="15">
        <v>20286.5</v>
      </c>
      <c r="V3" s="12">
        <v>494</v>
      </c>
      <c r="W3" s="13">
        <v>8.23</v>
      </c>
      <c r="X3" s="13">
        <v>229649.4</v>
      </c>
      <c r="Y3" s="13">
        <v>312109.2</v>
      </c>
      <c r="Z3" s="14">
        <v>8.4699999999999998E-2</v>
      </c>
      <c r="AA3" s="13">
        <v>34037.5</v>
      </c>
      <c r="AB3" s="13">
        <v>33929.1</v>
      </c>
      <c r="AC3" s="14">
        <v>8.6400000000000005E-2</v>
      </c>
      <c r="AD3" s="13">
        <v>2940</v>
      </c>
      <c r="AE3" s="13">
        <v>67998.2</v>
      </c>
      <c r="AF3" s="13">
        <v>67295.5</v>
      </c>
      <c r="AG3" s="14">
        <v>5.8500000000000003E-2</v>
      </c>
      <c r="AH3" s="13">
        <v>3975.5</v>
      </c>
      <c r="AI3" s="13">
        <v>6093.2</v>
      </c>
      <c r="AJ3" s="13">
        <v>6066.5</v>
      </c>
      <c r="AK3" s="14">
        <v>5.4800000000000001E-2</v>
      </c>
      <c r="AL3" s="15">
        <v>333.9</v>
      </c>
      <c r="AM3" s="12">
        <f>E3/V3</f>
        <v>20.866396761133604</v>
      </c>
      <c r="AN3" s="13">
        <f t="shared" ref="AN3:BF16" si="0">F3/W3</f>
        <v>20.878493317132442</v>
      </c>
      <c r="AO3" s="13">
        <f t="shared" si="0"/>
        <v>1.8763384533118745E-3</v>
      </c>
      <c r="AP3" s="13">
        <f t="shared" si="0"/>
        <v>6.6387020952922882E-4</v>
      </c>
      <c r="AQ3" s="13">
        <f t="shared" si="0"/>
        <v>11.113341204250295</v>
      </c>
      <c r="AR3" s="13">
        <f t="shared" si="0"/>
        <v>0.57454278369445466</v>
      </c>
      <c r="AS3" s="13">
        <f t="shared" si="0"/>
        <v>0.54835819399866192</v>
      </c>
      <c r="AT3" s="13">
        <f t="shared" si="0"/>
        <v>4.1678240740740735</v>
      </c>
      <c r="AU3" s="13">
        <f t="shared" si="0"/>
        <v>2.3954421768707483</v>
      </c>
      <c r="AV3" s="13">
        <f t="shared" si="0"/>
        <v>0.21701456803268324</v>
      </c>
      <c r="AW3" s="13">
        <f t="shared" si="0"/>
        <v>0.19832381065598739</v>
      </c>
      <c r="AX3" s="13">
        <f t="shared" si="0"/>
        <v>8.155555555555555</v>
      </c>
      <c r="AY3" s="13">
        <f t="shared" si="0"/>
        <v>1.7710225128914601</v>
      </c>
      <c r="AZ3" s="13">
        <f t="shared" si="0"/>
        <v>10.616966454408194</v>
      </c>
      <c r="BA3" s="13">
        <f t="shared" si="0"/>
        <v>10.248298030165664</v>
      </c>
      <c r="BB3" s="13">
        <f t="shared" si="0"/>
        <v>5.7226277372262766</v>
      </c>
      <c r="BC3" s="15">
        <f t="shared" si="0"/>
        <v>60.756214435459725</v>
      </c>
    </row>
    <row r="4" spans="1:55" x14ac:dyDescent="0.2">
      <c r="B4" s="1">
        <f>B3+24</f>
        <v>66.5</v>
      </c>
      <c r="C4" s="3">
        <f t="shared" ref="C4:C19" si="1">B4/24+$A$3</f>
        <v>46075.479166666672</v>
      </c>
      <c r="D4" s="4">
        <v>1390000</v>
      </c>
      <c r="E4" s="12">
        <v>8624</v>
      </c>
      <c r="F4" s="13">
        <v>143.72999999999999</v>
      </c>
      <c r="G4" s="13">
        <v>584.4</v>
      </c>
      <c r="H4" s="13">
        <v>460.5</v>
      </c>
      <c r="I4" s="14">
        <v>6.3240999999999996</v>
      </c>
      <c r="J4" s="13">
        <v>20659.900000000001</v>
      </c>
      <c r="K4" s="13">
        <v>19499.900000000001</v>
      </c>
      <c r="L4" s="14">
        <v>0.47260000000000002</v>
      </c>
      <c r="M4" s="13">
        <v>9764.1</v>
      </c>
      <c r="N4" s="13">
        <v>17795.2</v>
      </c>
      <c r="O4" s="13">
        <v>15629.8</v>
      </c>
      <c r="P4" s="14">
        <v>0.53249999999999997</v>
      </c>
      <c r="Q4" s="13">
        <v>9475.9</v>
      </c>
      <c r="R4" s="13">
        <v>67299.8</v>
      </c>
      <c r="S4" s="13">
        <v>64414.3</v>
      </c>
      <c r="T4" s="14">
        <v>0.39589999999999997</v>
      </c>
      <c r="U4" s="15">
        <v>26641.599999999999</v>
      </c>
      <c r="V4" s="12">
        <v>2320</v>
      </c>
      <c r="W4" s="13">
        <v>38.67</v>
      </c>
      <c r="X4" s="13">
        <v>223698.5</v>
      </c>
      <c r="Y4" s="13">
        <v>304843.8</v>
      </c>
      <c r="Z4" s="14">
        <v>7.46E-2</v>
      </c>
      <c r="AA4" s="13">
        <v>33477.4</v>
      </c>
      <c r="AB4" s="13">
        <v>33528.699999999997</v>
      </c>
      <c r="AC4" s="14">
        <v>8.1000000000000003E-2</v>
      </c>
      <c r="AD4" s="13">
        <v>2710.5</v>
      </c>
      <c r="AE4" s="13">
        <v>69501.3</v>
      </c>
      <c r="AF4" s="13">
        <v>69414</v>
      </c>
      <c r="AG4" s="14">
        <v>5.6099999999999997E-2</v>
      </c>
      <c r="AH4" s="13">
        <v>3900.5</v>
      </c>
      <c r="AI4" s="13">
        <v>6038.5</v>
      </c>
      <c r="AJ4" s="13">
        <v>6024.8</v>
      </c>
      <c r="AK4" s="14">
        <v>6.3E-2</v>
      </c>
      <c r="AL4" s="15">
        <v>380.5</v>
      </c>
      <c r="AM4" s="12">
        <f t="shared" ref="AM4:AM19" si="2">E4/V4</f>
        <v>3.7172413793103449</v>
      </c>
      <c r="AN4" s="13">
        <f t="shared" si="0"/>
        <v>3.7168347556245145</v>
      </c>
      <c r="AO4" s="13">
        <f t="shared" si="0"/>
        <v>2.6124448755803012E-3</v>
      </c>
      <c r="AP4" s="13">
        <f t="shared" si="0"/>
        <v>1.5106096958507932E-3</v>
      </c>
      <c r="AQ4" s="13">
        <f t="shared" si="0"/>
        <v>84.773458445040205</v>
      </c>
      <c r="AR4" s="13">
        <f t="shared" si="0"/>
        <v>0.61712976515500007</v>
      </c>
      <c r="AS4" s="13">
        <f t="shared" si="0"/>
        <v>0.58158831090975804</v>
      </c>
      <c r="AT4" s="13">
        <f t="shared" si="0"/>
        <v>5.8345679012345677</v>
      </c>
      <c r="AU4" s="13">
        <f t="shared" si="0"/>
        <v>3.6023242944106255</v>
      </c>
      <c r="AV4" s="13">
        <f t="shared" si="0"/>
        <v>0.25604125390460325</v>
      </c>
      <c r="AW4" s="13">
        <f t="shared" si="0"/>
        <v>0.22516783357824069</v>
      </c>
      <c r="AX4" s="13">
        <f t="shared" si="0"/>
        <v>9.4919786096256686</v>
      </c>
      <c r="AY4" s="13">
        <f t="shared" si="0"/>
        <v>2.4294064863479039</v>
      </c>
      <c r="AZ4" s="13">
        <f t="shared" si="0"/>
        <v>11.14511882089923</v>
      </c>
      <c r="BA4" s="13">
        <f t="shared" si="0"/>
        <v>10.691525029876511</v>
      </c>
      <c r="BB4" s="13">
        <f t="shared" si="0"/>
        <v>6.284126984126984</v>
      </c>
      <c r="BC4" s="15">
        <f t="shared" si="0"/>
        <v>70.017345597897503</v>
      </c>
    </row>
    <row r="5" spans="1:55" x14ac:dyDescent="0.2">
      <c r="B5" s="1">
        <f>B4+24</f>
        <v>90.5</v>
      </c>
      <c r="C5" s="3">
        <f t="shared" si="1"/>
        <v>46076.479166666672</v>
      </c>
      <c r="D5" s="4">
        <v>277000</v>
      </c>
      <c r="E5" s="12">
        <v>14935</v>
      </c>
      <c r="F5" s="13">
        <v>248.92</v>
      </c>
      <c r="G5" s="13">
        <v>1328.5</v>
      </c>
      <c r="H5" s="13">
        <v>1571.7</v>
      </c>
      <c r="I5" s="14">
        <v>2.0121000000000002</v>
      </c>
      <c r="J5" s="13">
        <v>18234</v>
      </c>
      <c r="K5" s="13">
        <v>16708.400000000001</v>
      </c>
      <c r="L5" s="14">
        <v>0.57330000000000003</v>
      </c>
      <c r="M5" s="13">
        <v>10453.200000000001</v>
      </c>
      <c r="N5" s="13">
        <v>16296.1</v>
      </c>
      <c r="O5" s="13">
        <v>14350.8</v>
      </c>
      <c r="P5" s="14">
        <v>0.54849999999999999</v>
      </c>
      <c r="Q5" s="13">
        <v>8939.1</v>
      </c>
      <c r="R5" s="13">
        <v>52900.7</v>
      </c>
      <c r="S5" s="13">
        <v>46461.8</v>
      </c>
      <c r="T5" s="14">
        <v>0.47710000000000002</v>
      </c>
      <c r="U5" s="15">
        <v>25240.7</v>
      </c>
      <c r="V5" s="12">
        <v>526</v>
      </c>
      <c r="W5" s="13">
        <v>8.77</v>
      </c>
      <c r="X5" s="13">
        <v>181423.9</v>
      </c>
      <c r="Y5" s="13">
        <v>245493.1</v>
      </c>
      <c r="Z5" s="14">
        <v>0.46579999999999999</v>
      </c>
      <c r="AA5" s="13">
        <v>31726.3</v>
      </c>
      <c r="AB5" s="13">
        <v>32879.199999999997</v>
      </c>
      <c r="AC5" s="14">
        <v>0.1784</v>
      </c>
      <c r="AD5" s="13">
        <v>5658.9</v>
      </c>
      <c r="AE5" s="13">
        <v>69975.3</v>
      </c>
      <c r="AF5" s="13">
        <v>68743.399999999994</v>
      </c>
      <c r="AG5" s="14">
        <v>7.7600000000000002E-2</v>
      </c>
      <c r="AH5" s="13">
        <v>5428</v>
      </c>
      <c r="AI5" s="13">
        <v>6117.2</v>
      </c>
      <c r="AJ5" s="13">
        <v>6055.9</v>
      </c>
      <c r="AK5" s="14">
        <v>6.9599999999999995E-2</v>
      </c>
      <c r="AL5" s="15">
        <v>425.7</v>
      </c>
      <c r="AM5" s="12">
        <f t="shared" si="2"/>
        <v>28.393536121673005</v>
      </c>
      <c r="AN5" s="13">
        <f t="shared" si="0"/>
        <v>28.383124287343215</v>
      </c>
      <c r="AO5" s="13">
        <f t="shared" si="0"/>
        <v>7.3226294881765857E-3</v>
      </c>
      <c r="AP5" s="13">
        <f t="shared" si="0"/>
        <v>6.402216599977759E-3</v>
      </c>
      <c r="AQ5" s="13">
        <f t="shared" si="0"/>
        <v>4.319665092314299</v>
      </c>
      <c r="AR5" s="13">
        <f t="shared" si="0"/>
        <v>0.57472822232658716</v>
      </c>
      <c r="AS5" s="13">
        <f t="shared" si="0"/>
        <v>0.50817538139614116</v>
      </c>
      <c r="AT5" s="13">
        <f t="shared" si="0"/>
        <v>3.2135650224215246</v>
      </c>
      <c r="AU5" s="13">
        <f t="shared" si="0"/>
        <v>1.8472141228860735</v>
      </c>
      <c r="AV5" s="13">
        <f t="shared" si="0"/>
        <v>0.23288360321427704</v>
      </c>
      <c r="AW5" s="13">
        <f t="shared" si="0"/>
        <v>0.2087589499501043</v>
      </c>
      <c r="AX5" s="13">
        <f t="shared" si="0"/>
        <v>7.0682989690721643</v>
      </c>
      <c r="AY5" s="13">
        <f t="shared" si="0"/>
        <v>1.646849668386146</v>
      </c>
      <c r="AZ5" s="13">
        <f t="shared" si="0"/>
        <v>8.6478617668214213</v>
      </c>
      <c r="BA5" s="13">
        <f t="shared" si="0"/>
        <v>7.6721544279132754</v>
      </c>
      <c r="BB5" s="13">
        <f t="shared" si="0"/>
        <v>6.8548850574712654</v>
      </c>
      <c r="BC5" s="15">
        <f t="shared" si="0"/>
        <v>59.292224571294341</v>
      </c>
    </row>
    <row r="6" spans="1:55" x14ac:dyDescent="0.2">
      <c r="B6" s="1">
        <f>B5+3*24</f>
        <v>162.5</v>
      </c>
      <c r="C6" s="3">
        <f t="shared" si="1"/>
        <v>46079.479166666672</v>
      </c>
      <c r="D6" s="4">
        <v>2320</v>
      </c>
      <c r="E6" s="12">
        <v>116</v>
      </c>
      <c r="F6" s="13">
        <v>1.93</v>
      </c>
      <c r="G6" s="13">
        <v>729.2</v>
      </c>
      <c r="H6" s="13">
        <v>667.5</v>
      </c>
      <c r="I6" s="14">
        <v>3.3816999999999999</v>
      </c>
      <c r="J6" s="13">
        <v>19326.3</v>
      </c>
      <c r="K6" s="13">
        <v>16430.400000000001</v>
      </c>
      <c r="L6" s="14">
        <v>0.51780000000000004</v>
      </c>
      <c r="M6" s="13">
        <v>10006.4</v>
      </c>
      <c r="N6" s="13">
        <v>13584.5</v>
      </c>
      <c r="O6" s="13">
        <v>11697</v>
      </c>
      <c r="P6" s="14">
        <v>0.58650000000000002</v>
      </c>
      <c r="Q6" s="13">
        <v>7967.4</v>
      </c>
      <c r="R6" s="13">
        <v>66800.7</v>
      </c>
      <c r="S6" s="13">
        <v>56487.1</v>
      </c>
      <c r="T6" s="14">
        <v>0.46179999999999999</v>
      </c>
      <c r="U6" s="15">
        <v>30848.3</v>
      </c>
      <c r="V6" s="12">
        <v>594</v>
      </c>
      <c r="W6" s="13">
        <v>9.9</v>
      </c>
      <c r="X6" s="13">
        <v>215879.6</v>
      </c>
      <c r="Y6" s="13">
        <v>293498.3</v>
      </c>
      <c r="Z6" s="14">
        <v>4.8099999999999997E-2</v>
      </c>
      <c r="AA6" s="13">
        <v>33724.1</v>
      </c>
      <c r="AB6" s="13">
        <v>33680.300000000003</v>
      </c>
      <c r="AC6" s="14">
        <v>7.5700000000000003E-2</v>
      </c>
      <c r="AD6" s="13">
        <v>2552.1999999999998</v>
      </c>
      <c r="AE6" s="13">
        <v>62784.1</v>
      </c>
      <c r="AF6" s="13">
        <v>61116.1</v>
      </c>
      <c r="AG6" s="14">
        <v>8.43E-2</v>
      </c>
      <c r="AH6" s="13">
        <v>5293.3</v>
      </c>
      <c r="AI6" s="13">
        <v>5828.7</v>
      </c>
      <c r="AJ6" s="13">
        <v>5781</v>
      </c>
      <c r="AK6" s="14">
        <v>6.1699999999999998E-2</v>
      </c>
      <c r="AL6" s="15">
        <v>359.9</v>
      </c>
      <c r="AM6" s="12">
        <f t="shared" si="2"/>
        <v>0.19528619528619529</v>
      </c>
      <c r="AN6" s="13">
        <f t="shared" si="0"/>
        <v>0.19494949494949493</v>
      </c>
      <c r="AO6" s="13">
        <f t="shared" si="0"/>
        <v>3.3778087415392657E-3</v>
      </c>
      <c r="AP6" s="13">
        <f t="shared" si="0"/>
        <v>2.274289152611787E-3</v>
      </c>
      <c r="AQ6" s="13">
        <f t="shared" si="0"/>
        <v>70.305613305613306</v>
      </c>
      <c r="AR6" s="13">
        <f t="shared" si="0"/>
        <v>0.5730708899570337</v>
      </c>
      <c r="AS6" s="13">
        <f t="shared" si="0"/>
        <v>0.48783413449405144</v>
      </c>
      <c r="AT6" s="13">
        <f t="shared" si="0"/>
        <v>6.8401585204755619</v>
      </c>
      <c r="AU6" s="13">
        <f t="shared" si="0"/>
        <v>3.920695870229606</v>
      </c>
      <c r="AV6" s="13">
        <f t="shared" si="0"/>
        <v>0.21636847545795831</v>
      </c>
      <c r="AW6" s="13">
        <f t="shared" si="0"/>
        <v>0.19138983017568204</v>
      </c>
      <c r="AX6" s="13">
        <f t="shared" si="0"/>
        <v>6.957295373665481</v>
      </c>
      <c r="AY6" s="13">
        <f t="shared" si="0"/>
        <v>1.5051858009181416</v>
      </c>
      <c r="AZ6" s="13">
        <f t="shared" si="0"/>
        <v>11.460651603273456</v>
      </c>
      <c r="BA6" s="13">
        <f t="shared" si="0"/>
        <v>9.7711641584500946</v>
      </c>
      <c r="BB6" s="13">
        <f t="shared" si="0"/>
        <v>7.4846029173419772</v>
      </c>
      <c r="BC6" s="15">
        <f t="shared" si="0"/>
        <v>85.713531536537928</v>
      </c>
    </row>
    <row r="7" spans="1:55" x14ac:dyDescent="0.2">
      <c r="B7" s="1">
        <f>B6+24</f>
        <v>186.5</v>
      </c>
      <c r="C7" s="3">
        <f t="shared" si="1"/>
        <v>46080.479166666672</v>
      </c>
      <c r="D7" s="4">
        <v>3310</v>
      </c>
      <c r="E7" s="12">
        <v>177</v>
      </c>
      <c r="F7" s="13">
        <v>2.95</v>
      </c>
      <c r="G7" s="13">
        <v>492.2</v>
      </c>
      <c r="H7" s="13">
        <v>318.3</v>
      </c>
      <c r="I7" s="14">
        <v>1.5102</v>
      </c>
      <c r="J7" s="13">
        <v>19006.3</v>
      </c>
      <c r="K7" s="13">
        <v>17292.7</v>
      </c>
      <c r="L7" s="14">
        <v>0.38390000000000002</v>
      </c>
      <c r="M7" s="13">
        <v>7296.8</v>
      </c>
      <c r="N7" s="13">
        <v>14527.6</v>
      </c>
      <c r="O7" s="13">
        <v>13366.9</v>
      </c>
      <c r="P7" s="14">
        <v>0.49180000000000001</v>
      </c>
      <c r="Q7" s="13">
        <v>7145.2</v>
      </c>
      <c r="R7" s="13">
        <v>66069</v>
      </c>
      <c r="S7" s="13">
        <v>59558.5</v>
      </c>
      <c r="T7" s="14">
        <v>0.3634</v>
      </c>
      <c r="U7" s="15">
        <v>24012.3</v>
      </c>
      <c r="V7" s="12">
        <v>2337</v>
      </c>
      <c r="W7" s="13">
        <v>38.950000000000003</v>
      </c>
      <c r="X7" s="13">
        <v>217242.1</v>
      </c>
      <c r="Y7" s="13">
        <v>292640.8</v>
      </c>
      <c r="Z7" s="14">
        <v>5.5E-2</v>
      </c>
      <c r="AA7" s="13">
        <v>33580.300000000003</v>
      </c>
      <c r="AB7" s="13">
        <v>33603.599999999999</v>
      </c>
      <c r="AC7" s="14">
        <v>7.0300000000000001E-2</v>
      </c>
      <c r="AD7" s="13">
        <v>2359.4</v>
      </c>
      <c r="AE7" s="13">
        <v>67415.7</v>
      </c>
      <c r="AF7" s="13">
        <v>67262.100000000006</v>
      </c>
      <c r="AG7" s="14">
        <v>5.3999999999999999E-2</v>
      </c>
      <c r="AH7" s="13">
        <v>3642.9</v>
      </c>
      <c r="AI7" s="13">
        <v>5653.5</v>
      </c>
      <c r="AJ7" s="13">
        <v>5632.4</v>
      </c>
      <c r="AK7" s="14">
        <v>6.0100000000000001E-2</v>
      </c>
      <c r="AL7" s="15">
        <v>339.7</v>
      </c>
      <c r="AM7" s="12">
        <f t="shared" si="2"/>
        <v>7.5738125802310652E-2</v>
      </c>
      <c r="AN7" s="13">
        <f t="shared" si="0"/>
        <v>7.5738125802310652E-2</v>
      </c>
      <c r="AO7" s="13">
        <f t="shared" si="0"/>
        <v>2.2656750233955572E-3</v>
      </c>
      <c r="AP7" s="13">
        <f t="shared" si="0"/>
        <v>1.0876815536316196E-3</v>
      </c>
      <c r="AQ7" s="13">
        <f t="shared" si="0"/>
        <v>27.458181818181817</v>
      </c>
      <c r="AR7" s="13">
        <f t="shared" si="0"/>
        <v>0.56599553905116984</v>
      </c>
      <c r="AS7" s="13">
        <f t="shared" si="0"/>
        <v>0.51460855384542137</v>
      </c>
      <c r="AT7" s="13">
        <f t="shared" si="0"/>
        <v>5.460881934566145</v>
      </c>
      <c r="AU7" s="13">
        <f t="shared" si="0"/>
        <v>3.092650673900144</v>
      </c>
      <c r="AV7" s="13">
        <f t="shared" si="0"/>
        <v>0.21549283030510699</v>
      </c>
      <c r="AW7" s="13">
        <f t="shared" si="0"/>
        <v>0.19872855590295274</v>
      </c>
      <c r="AX7" s="13">
        <f t="shared" si="0"/>
        <v>9.1074074074074076</v>
      </c>
      <c r="AY7" s="13">
        <f t="shared" si="0"/>
        <v>1.9614043756347963</v>
      </c>
      <c r="AZ7" s="13">
        <f t="shared" si="0"/>
        <v>11.686388962589547</v>
      </c>
      <c r="BA7" s="13">
        <f t="shared" si="0"/>
        <v>10.574266742418862</v>
      </c>
      <c r="BB7" s="13">
        <f t="shared" si="0"/>
        <v>6.0465890183028286</v>
      </c>
      <c r="BC7" s="15">
        <f t="shared" si="0"/>
        <v>70.686782455107448</v>
      </c>
    </row>
    <row r="8" spans="1:55" x14ac:dyDescent="0.2">
      <c r="B8" s="1">
        <f>B7+24</f>
        <v>210.5</v>
      </c>
      <c r="C8" s="3">
        <f t="shared" si="1"/>
        <v>46081.479166666672</v>
      </c>
      <c r="D8" s="4">
        <v>5850</v>
      </c>
      <c r="E8" s="12">
        <v>322</v>
      </c>
      <c r="F8" s="13">
        <v>5.37</v>
      </c>
      <c r="G8" s="13">
        <v>472.9</v>
      </c>
      <c r="H8" s="13">
        <v>274</v>
      </c>
      <c r="I8" s="14">
        <v>1.077</v>
      </c>
      <c r="J8" s="13">
        <v>18835.5</v>
      </c>
      <c r="K8" s="13">
        <v>17679.5</v>
      </c>
      <c r="L8" s="14">
        <v>0.3624</v>
      </c>
      <c r="M8" s="13">
        <v>6825.4</v>
      </c>
      <c r="N8" s="13">
        <v>12470.5</v>
      </c>
      <c r="O8" s="13">
        <v>11056.3</v>
      </c>
      <c r="P8" s="14">
        <v>0.46200000000000002</v>
      </c>
      <c r="Q8" s="13">
        <v>5761</v>
      </c>
      <c r="R8" s="13">
        <v>64478.400000000001</v>
      </c>
      <c r="S8" s="13">
        <v>61687.9</v>
      </c>
      <c r="T8" s="14">
        <v>0.3135</v>
      </c>
      <c r="U8" s="15">
        <v>20212.099999999999</v>
      </c>
      <c r="V8" s="12">
        <v>3310</v>
      </c>
      <c r="W8" s="13">
        <v>55.18</v>
      </c>
      <c r="X8" s="13">
        <v>213062.7</v>
      </c>
      <c r="Y8" s="13">
        <v>286234.2</v>
      </c>
      <c r="Z8" s="14">
        <v>6.2799999999999995E-2</v>
      </c>
      <c r="AA8" s="13">
        <v>33515.699999999997</v>
      </c>
      <c r="AB8" s="13">
        <v>33660.9</v>
      </c>
      <c r="AC8" s="14">
        <v>9.6100000000000005E-2</v>
      </c>
      <c r="AD8" s="13">
        <v>3219.9</v>
      </c>
      <c r="AE8" s="13">
        <v>59678.2</v>
      </c>
      <c r="AF8" s="13">
        <v>57759.1</v>
      </c>
      <c r="AG8" s="14">
        <v>9.6699999999999994E-2</v>
      </c>
      <c r="AH8" s="13">
        <v>5771.1</v>
      </c>
      <c r="AI8" s="13">
        <v>5544.8</v>
      </c>
      <c r="AJ8" s="13">
        <v>5530</v>
      </c>
      <c r="AK8" s="14">
        <v>6.4600000000000005E-2</v>
      </c>
      <c r="AL8" s="15">
        <v>358</v>
      </c>
      <c r="AM8" s="12">
        <f t="shared" si="2"/>
        <v>9.7280966767371607E-2</v>
      </c>
      <c r="AN8" s="13">
        <f t="shared" si="0"/>
        <v>9.7317868793040954E-2</v>
      </c>
      <c r="AO8" s="13">
        <f t="shared" si="0"/>
        <v>2.2195344375153417E-3</v>
      </c>
      <c r="AP8" s="13">
        <f t="shared" si="0"/>
        <v>9.5725807747641613E-4</v>
      </c>
      <c r="AQ8" s="13">
        <f t="shared" si="0"/>
        <v>17.14968152866242</v>
      </c>
      <c r="AR8" s="13">
        <f t="shared" si="0"/>
        <v>0.56199035079082349</v>
      </c>
      <c r="AS8" s="13">
        <f t="shared" si="0"/>
        <v>0.52522362741340844</v>
      </c>
      <c r="AT8" s="13">
        <f t="shared" si="0"/>
        <v>3.7710718002081163</v>
      </c>
      <c r="AU8" s="13">
        <f t="shared" si="0"/>
        <v>2.1197552719028541</v>
      </c>
      <c r="AV8" s="13">
        <f t="shared" si="0"/>
        <v>0.20896240168101585</v>
      </c>
      <c r="AW8" s="13">
        <f t="shared" si="0"/>
        <v>0.1914209189547621</v>
      </c>
      <c r="AX8" s="13">
        <f t="shared" si="0"/>
        <v>4.7776628748707344</v>
      </c>
      <c r="AY8" s="13">
        <f t="shared" si="0"/>
        <v>0.99824990036561478</v>
      </c>
      <c r="AZ8" s="13">
        <f t="shared" si="0"/>
        <v>11.628625018034915</v>
      </c>
      <c r="BA8" s="13">
        <f t="shared" si="0"/>
        <v>11.155135623869802</v>
      </c>
      <c r="BB8" s="13">
        <f t="shared" si="0"/>
        <v>4.8529411764705879</v>
      </c>
      <c r="BC8" s="15">
        <f t="shared" si="0"/>
        <v>56.458379888268155</v>
      </c>
    </row>
    <row r="9" spans="1:55" x14ac:dyDescent="0.2">
      <c r="B9" s="1">
        <f>B8+24</f>
        <v>234.5</v>
      </c>
      <c r="C9" s="3">
        <f t="shared" si="1"/>
        <v>46082.479166666672</v>
      </c>
      <c r="D9" s="4">
        <v>10800</v>
      </c>
      <c r="E9" s="12">
        <v>596</v>
      </c>
      <c r="F9" s="13">
        <v>9.94</v>
      </c>
      <c r="G9" s="14">
        <v>457.6</v>
      </c>
      <c r="H9" s="13">
        <v>266</v>
      </c>
      <c r="I9" s="14">
        <v>0.96870000000000001</v>
      </c>
      <c r="J9" s="14">
        <v>19122.5</v>
      </c>
      <c r="K9" s="13">
        <v>17588.099999999999</v>
      </c>
      <c r="L9" s="14">
        <v>0.40239999999999998</v>
      </c>
      <c r="M9" s="13">
        <v>7694.5</v>
      </c>
      <c r="N9" s="14">
        <v>12284.8</v>
      </c>
      <c r="O9" s="13">
        <v>10818.8</v>
      </c>
      <c r="P9" s="14">
        <v>0.53420000000000001</v>
      </c>
      <c r="Q9" s="13">
        <v>6562.5</v>
      </c>
      <c r="R9" s="14">
        <v>65126.8</v>
      </c>
      <c r="S9" s="13">
        <v>60794.9</v>
      </c>
      <c r="T9" s="14">
        <v>0.34920000000000001</v>
      </c>
      <c r="U9" s="15">
        <v>22739.8</v>
      </c>
      <c r="V9" s="12">
        <v>3220</v>
      </c>
      <c r="W9" s="13">
        <v>53.68</v>
      </c>
      <c r="X9" s="14">
        <v>212553.60000000001</v>
      </c>
      <c r="Y9" s="13">
        <v>286429.5</v>
      </c>
      <c r="Z9" s="14">
        <v>6.3799999999999996E-2</v>
      </c>
      <c r="AA9" s="14">
        <v>33543.199999999997</v>
      </c>
      <c r="AB9" s="13">
        <v>33645</v>
      </c>
      <c r="AC9" s="14">
        <v>7.9200000000000007E-2</v>
      </c>
      <c r="AD9" s="13">
        <v>2657.7</v>
      </c>
      <c r="AE9" s="14">
        <v>57080.1</v>
      </c>
      <c r="AF9" s="13">
        <v>54649.9</v>
      </c>
      <c r="AG9" s="14">
        <v>0.11219999999999999</v>
      </c>
      <c r="AH9" s="13">
        <v>6401.7</v>
      </c>
      <c r="AI9" s="14">
        <v>5503.5</v>
      </c>
      <c r="AJ9" s="13">
        <v>5488.2</v>
      </c>
      <c r="AK9" s="14">
        <v>6.6400000000000001E-2</v>
      </c>
      <c r="AL9" s="15">
        <v>365.2</v>
      </c>
      <c r="AM9" s="12">
        <f t="shared" si="2"/>
        <v>0.18509316770186335</v>
      </c>
      <c r="AN9" s="13">
        <f t="shared" si="0"/>
        <v>0.18517138599105812</v>
      </c>
      <c r="AO9" s="13">
        <f t="shared" si="0"/>
        <v>2.1528687352272559E-3</v>
      </c>
      <c r="AP9" s="13">
        <f t="shared" si="0"/>
        <v>9.2867529357136753E-4</v>
      </c>
      <c r="AQ9" s="13">
        <f t="shared" si="0"/>
        <v>15.183385579937305</v>
      </c>
      <c r="AR9" s="13">
        <f t="shared" si="0"/>
        <v>0.57008574017982783</v>
      </c>
      <c r="AS9" s="13">
        <f t="shared" si="0"/>
        <v>0.5227552385198394</v>
      </c>
      <c r="AT9" s="13">
        <f t="shared" si="0"/>
        <v>5.0808080808080804</v>
      </c>
      <c r="AU9" s="13">
        <f t="shared" si="0"/>
        <v>2.8951725175903977</v>
      </c>
      <c r="AV9" s="13">
        <f t="shared" si="0"/>
        <v>0.21522036576670328</v>
      </c>
      <c r="AW9" s="13">
        <f t="shared" si="0"/>
        <v>0.197965595545463</v>
      </c>
      <c r="AX9" s="13">
        <f t="shared" si="0"/>
        <v>4.7611408199643499</v>
      </c>
      <c r="AY9" s="13">
        <f t="shared" si="0"/>
        <v>1.0251183279441398</v>
      </c>
      <c r="AZ9" s="13">
        <f t="shared" si="0"/>
        <v>11.833705823566822</v>
      </c>
      <c r="BA9" s="13">
        <f t="shared" si="0"/>
        <v>11.077384206114939</v>
      </c>
      <c r="BB9" s="13">
        <f t="shared" si="0"/>
        <v>5.2590361445783129</v>
      </c>
      <c r="BC9" s="15">
        <f t="shared" si="0"/>
        <v>62.266703176341728</v>
      </c>
    </row>
    <row r="10" spans="1:55" x14ac:dyDescent="0.2">
      <c r="B10" s="1">
        <f>B9+24</f>
        <v>258.5</v>
      </c>
      <c r="C10" s="3">
        <f t="shared" si="1"/>
        <v>46083.479166666672</v>
      </c>
      <c r="D10" s="4">
        <v>20300</v>
      </c>
      <c r="E10" s="12">
        <v>1060</v>
      </c>
      <c r="F10" s="13">
        <v>17.670000000000002</v>
      </c>
      <c r="G10" s="14">
        <v>429.5</v>
      </c>
      <c r="H10" s="13">
        <v>214.6</v>
      </c>
      <c r="I10" s="14">
        <v>0.97309999999999997</v>
      </c>
      <c r="J10" s="14">
        <v>19188</v>
      </c>
      <c r="K10" s="13">
        <v>17587.8</v>
      </c>
      <c r="L10" s="14">
        <v>0.373</v>
      </c>
      <c r="M10" s="13">
        <v>7156.4</v>
      </c>
      <c r="N10" s="14">
        <v>12089.5</v>
      </c>
      <c r="O10" s="13">
        <v>11080.6</v>
      </c>
      <c r="P10" s="14">
        <v>0.48570000000000002</v>
      </c>
      <c r="Q10" s="13">
        <v>5872</v>
      </c>
      <c r="R10" s="14">
        <v>65033.599999999999</v>
      </c>
      <c r="S10" s="13">
        <v>61023.199999999997</v>
      </c>
      <c r="T10" s="14">
        <v>0.33379999999999999</v>
      </c>
      <c r="U10" s="15">
        <v>21705.200000000001</v>
      </c>
      <c r="V10" s="12">
        <v>4931</v>
      </c>
      <c r="W10" s="13">
        <v>82.19</v>
      </c>
      <c r="X10" s="14">
        <v>213924.7</v>
      </c>
      <c r="Y10" s="13">
        <v>287617.5</v>
      </c>
      <c r="Z10" s="14">
        <v>0.06</v>
      </c>
      <c r="AA10" s="14">
        <v>33597.9</v>
      </c>
      <c r="AB10" s="13">
        <v>33636</v>
      </c>
      <c r="AC10" s="14">
        <v>7.1400000000000005E-2</v>
      </c>
      <c r="AD10" s="13">
        <v>2398.6</v>
      </c>
      <c r="AE10" s="14">
        <v>58121.9</v>
      </c>
      <c r="AF10" s="13">
        <v>55793</v>
      </c>
      <c r="AG10" s="14">
        <v>0.1067</v>
      </c>
      <c r="AH10" s="13">
        <v>6199.8</v>
      </c>
      <c r="AI10" s="14">
        <v>5453.2</v>
      </c>
      <c r="AJ10" s="13">
        <v>5442.1</v>
      </c>
      <c r="AK10" s="14">
        <v>6.3399999999999998E-2</v>
      </c>
      <c r="AL10" s="15">
        <v>345.7</v>
      </c>
      <c r="AM10" s="12">
        <f t="shared" si="2"/>
        <v>0.21496653822754005</v>
      </c>
      <c r="AN10" s="13">
        <f t="shared" si="0"/>
        <v>0.21498965810925907</v>
      </c>
      <c r="AO10" s="13">
        <f t="shared" si="0"/>
        <v>2.007715799063876E-3</v>
      </c>
      <c r="AP10" s="13">
        <f t="shared" si="0"/>
        <v>7.461298425860735E-4</v>
      </c>
      <c r="AQ10" s="13">
        <f t="shared" si="0"/>
        <v>16.218333333333334</v>
      </c>
      <c r="AR10" s="13">
        <f t="shared" si="0"/>
        <v>0.57110712276660147</v>
      </c>
      <c r="AS10" s="13">
        <f t="shared" si="0"/>
        <v>0.52288619336425257</v>
      </c>
      <c r="AT10" s="13">
        <f t="shared" si="0"/>
        <v>5.2240896358543409</v>
      </c>
      <c r="AU10" s="13">
        <f t="shared" si="0"/>
        <v>2.9835737513549572</v>
      </c>
      <c r="AV10" s="13">
        <f t="shared" si="0"/>
        <v>0.20800249131566587</v>
      </c>
      <c r="AW10" s="13">
        <f t="shared" si="0"/>
        <v>0.19860197515817396</v>
      </c>
      <c r="AX10" s="13">
        <f t="shared" si="0"/>
        <v>4.5520149953139644</v>
      </c>
      <c r="AY10" s="13">
        <f t="shared" si="0"/>
        <v>0.94712732668795763</v>
      </c>
      <c r="AZ10" s="13">
        <f t="shared" si="0"/>
        <v>11.925768356194528</v>
      </c>
      <c r="BA10" s="13">
        <f t="shared" si="0"/>
        <v>11.213171386045827</v>
      </c>
      <c r="BB10" s="13">
        <f t="shared" si="0"/>
        <v>5.2649842271293377</v>
      </c>
      <c r="BC10" s="15">
        <f t="shared" si="0"/>
        <v>62.786230835984959</v>
      </c>
    </row>
    <row r="11" spans="1:55" x14ac:dyDescent="0.2">
      <c r="B11" s="1">
        <f>B10+24*2</f>
        <v>306.5</v>
      </c>
      <c r="C11" s="3">
        <f t="shared" si="1"/>
        <v>46085.479166666672</v>
      </c>
      <c r="D11" s="4">
        <v>131000</v>
      </c>
      <c r="E11" s="12">
        <v>6595</v>
      </c>
      <c r="F11" s="13">
        <v>109.92</v>
      </c>
      <c r="G11" s="14">
        <v>467.8</v>
      </c>
      <c r="H11" s="13">
        <v>259</v>
      </c>
      <c r="I11" s="14">
        <v>14.2879</v>
      </c>
      <c r="J11" s="14">
        <v>18936.599999999999</v>
      </c>
      <c r="K11" s="13">
        <v>17927.7</v>
      </c>
      <c r="L11" s="14">
        <v>0.34029999999999999</v>
      </c>
      <c r="M11" s="13">
        <v>6443.6</v>
      </c>
      <c r="N11" s="14">
        <v>11265.1</v>
      </c>
      <c r="O11" s="13">
        <v>10158.299999999999</v>
      </c>
      <c r="P11" s="14">
        <v>0.47499999999999998</v>
      </c>
      <c r="Q11" s="13">
        <v>5350.6</v>
      </c>
      <c r="R11" s="14">
        <v>63041.3</v>
      </c>
      <c r="S11" s="13">
        <v>59519.3</v>
      </c>
      <c r="T11" s="14">
        <v>0.31219999999999998</v>
      </c>
      <c r="U11" s="15">
        <v>19683.099999999999</v>
      </c>
      <c r="V11" s="12">
        <v>1609</v>
      </c>
      <c r="W11" s="13">
        <v>26.82</v>
      </c>
      <c r="X11" s="14">
        <v>212541.5</v>
      </c>
      <c r="Y11" s="13">
        <v>284813.8</v>
      </c>
      <c r="Z11" s="14">
        <v>5.4199999999999998E-2</v>
      </c>
      <c r="AA11" s="14">
        <v>33708.5</v>
      </c>
      <c r="AB11" s="13">
        <v>33724.5</v>
      </c>
      <c r="AC11" s="14">
        <v>7.5399999999999995E-2</v>
      </c>
      <c r="AD11" s="13">
        <v>2542.1</v>
      </c>
      <c r="AE11" s="14">
        <v>55840.2</v>
      </c>
      <c r="AF11" s="13">
        <v>53520.3</v>
      </c>
      <c r="AG11" s="14">
        <v>0.1168</v>
      </c>
      <c r="AH11" s="13">
        <v>6522.1</v>
      </c>
      <c r="AI11" s="14">
        <v>5428.4</v>
      </c>
      <c r="AJ11" s="13">
        <v>5401.8</v>
      </c>
      <c r="AK11" s="14">
        <v>6.0600000000000001E-2</v>
      </c>
      <c r="AL11" s="15">
        <v>329.1</v>
      </c>
      <c r="AM11" s="12">
        <f t="shared" si="2"/>
        <v>4.0988191423244249</v>
      </c>
      <c r="AN11" s="13">
        <f t="shared" si="0"/>
        <v>4.0984340044742726</v>
      </c>
      <c r="AO11" s="13">
        <f t="shared" si="0"/>
        <v>2.2009819258827102E-3</v>
      </c>
      <c r="AP11" s="13">
        <f t="shared" si="0"/>
        <v>9.0936604897655946E-4</v>
      </c>
      <c r="AQ11" s="13">
        <f t="shared" si="0"/>
        <v>263.61439114391146</v>
      </c>
      <c r="AR11" s="13">
        <f t="shared" si="0"/>
        <v>0.56177521990002521</v>
      </c>
      <c r="AS11" s="13">
        <f t="shared" si="0"/>
        <v>0.5315927589734466</v>
      </c>
      <c r="AT11" s="13">
        <f t="shared" si="0"/>
        <v>4.5132625994694964</v>
      </c>
      <c r="AU11" s="13">
        <f t="shared" si="0"/>
        <v>2.5347547303410569</v>
      </c>
      <c r="AV11" s="13">
        <f t="shared" si="0"/>
        <v>0.20173817429020671</v>
      </c>
      <c r="AW11" s="13">
        <f t="shared" si="0"/>
        <v>0.18980274774244538</v>
      </c>
      <c r="AX11" s="13">
        <f t="shared" si="0"/>
        <v>4.0667808219178081</v>
      </c>
      <c r="AY11" s="13">
        <f t="shared" si="0"/>
        <v>0.82037993897670991</v>
      </c>
      <c r="AZ11" s="13">
        <f t="shared" si="0"/>
        <v>11.613237786456416</v>
      </c>
      <c r="BA11" s="13">
        <f t="shared" si="0"/>
        <v>11.01841978599726</v>
      </c>
      <c r="BB11" s="13">
        <f t="shared" si="0"/>
        <v>5.1518151815181517</v>
      </c>
      <c r="BC11" s="15">
        <f t="shared" si="0"/>
        <v>59.808872683075045</v>
      </c>
    </row>
    <row r="12" spans="1:55" x14ac:dyDescent="0.2">
      <c r="B12" s="1">
        <f>B11+24</f>
        <v>330.5</v>
      </c>
      <c r="C12" s="3">
        <f t="shared" si="1"/>
        <v>46086.479166666672</v>
      </c>
      <c r="D12" s="4">
        <v>224000</v>
      </c>
      <c r="E12" s="12">
        <v>12445</v>
      </c>
      <c r="F12" s="13">
        <v>207.42</v>
      </c>
      <c r="G12" s="14">
        <v>524.79999999999995</v>
      </c>
      <c r="H12" s="13">
        <v>350.4</v>
      </c>
      <c r="I12" s="14">
        <v>18.0564</v>
      </c>
      <c r="J12" s="14">
        <v>18718.400000000001</v>
      </c>
      <c r="K12" s="13">
        <v>17448</v>
      </c>
      <c r="L12" s="14">
        <v>0.35449999999999998</v>
      </c>
      <c r="M12" s="13">
        <v>6636</v>
      </c>
      <c r="N12" s="14">
        <v>12947.2</v>
      </c>
      <c r="O12" s="13">
        <v>11743.3</v>
      </c>
      <c r="P12" s="14">
        <v>0.48010000000000003</v>
      </c>
      <c r="Q12" s="13">
        <v>6215.6</v>
      </c>
      <c r="R12" s="14">
        <v>67284.5</v>
      </c>
      <c r="S12" s="13">
        <v>63536.5</v>
      </c>
      <c r="T12" s="14">
        <v>0.32169999999999999</v>
      </c>
      <c r="U12" s="15">
        <v>21642.6</v>
      </c>
      <c r="V12" s="12">
        <v>5274</v>
      </c>
      <c r="W12" s="13">
        <v>87.9</v>
      </c>
      <c r="X12" s="14">
        <v>213805.6</v>
      </c>
      <c r="Y12" s="13">
        <v>285813.90000000002</v>
      </c>
      <c r="Z12" s="14">
        <v>5.4199999999999998E-2</v>
      </c>
      <c r="AA12" s="14">
        <v>33386.9</v>
      </c>
      <c r="AB12" s="13">
        <v>33391.9</v>
      </c>
      <c r="AC12" s="14">
        <v>6.1899999999999997E-2</v>
      </c>
      <c r="AD12" s="13">
        <v>2067.4</v>
      </c>
      <c r="AE12" s="14">
        <v>61538.7</v>
      </c>
      <c r="AF12" s="13">
        <v>59779.1</v>
      </c>
      <c r="AG12" s="14">
        <v>9.06E-2</v>
      </c>
      <c r="AH12" s="13">
        <v>5573.3</v>
      </c>
      <c r="AI12" s="14">
        <v>5481.8</v>
      </c>
      <c r="AJ12" s="13">
        <v>5451.7</v>
      </c>
      <c r="AK12" s="14">
        <v>6.0999999999999999E-2</v>
      </c>
      <c r="AL12" s="15">
        <v>334.2</v>
      </c>
      <c r="AM12" s="12">
        <f t="shared" si="2"/>
        <v>2.3596890405764124</v>
      </c>
      <c r="AN12" s="13">
        <f t="shared" si="0"/>
        <v>2.3597269624573376</v>
      </c>
      <c r="AO12" s="13">
        <f t="shared" si="0"/>
        <v>2.4545662040657491E-3</v>
      </c>
      <c r="AP12" s="13">
        <f t="shared" si="0"/>
        <v>1.2259725646653293E-3</v>
      </c>
      <c r="AQ12" s="13">
        <f t="shared" si="0"/>
        <v>333.14391143911439</v>
      </c>
      <c r="AR12" s="13">
        <f t="shared" si="0"/>
        <v>0.56065103378870162</v>
      </c>
      <c r="AS12" s="13">
        <f t="shared" si="0"/>
        <v>0.5225219289707983</v>
      </c>
      <c r="AT12" s="13">
        <f t="shared" si="0"/>
        <v>5.7269789983844914</v>
      </c>
      <c r="AU12" s="13">
        <f t="shared" si="0"/>
        <v>3.2098287704362964</v>
      </c>
      <c r="AV12" s="13">
        <f t="shared" si="0"/>
        <v>0.21039118473415919</v>
      </c>
      <c r="AW12" s="13">
        <f t="shared" si="0"/>
        <v>0.19644491134861514</v>
      </c>
      <c r="AX12" s="13">
        <f t="shared" si="0"/>
        <v>5.2991169977924946</v>
      </c>
      <c r="AY12" s="13">
        <f t="shared" si="0"/>
        <v>1.115245904580769</v>
      </c>
      <c r="AZ12" s="13">
        <f t="shared" si="0"/>
        <v>12.274161771680834</v>
      </c>
      <c r="BA12" s="13">
        <f t="shared" si="0"/>
        <v>11.654438065190675</v>
      </c>
      <c r="BB12" s="13">
        <f t="shared" si="0"/>
        <v>5.2737704918032788</v>
      </c>
      <c r="BC12" s="15">
        <f t="shared" si="0"/>
        <v>64.759425493716336</v>
      </c>
    </row>
    <row r="13" spans="1:55" x14ac:dyDescent="0.2">
      <c r="B13" s="1">
        <f t="shared" ref="B13:B15" si="3">B12+24</f>
        <v>354.5</v>
      </c>
      <c r="C13" s="3">
        <f t="shared" si="1"/>
        <v>46087.479166666672</v>
      </c>
      <c r="D13" s="4">
        <v>375000</v>
      </c>
      <c r="E13" s="12">
        <v>21774</v>
      </c>
      <c r="F13" s="13">
        <v>362.9</v>
      </c>
      <c r="G13" s="14">
        <v>484</v>
      </c>
      <c r="H13" s="13">
        <v>287.39999999999998</v>
      </c>
      <c r="I13" s="14">
        <v>16.372399999999999</v>
      </c>
      <c r="J13" s="14">
        <v>18813.599999999999</v>
      </c>
      <c r="K13" s="13">
        <v>17572.400000000001</v>
      </c>
      <c r="L13" s="14">
        <v>0.3579</v>
      </c>
      <c r="M13" s="13">
        <v>6734</v>
      </c>
      <c r="N13" s="14">
        <v>12097.7</v>
      </c>
      <c r="O13" s="13">
        <v>10902.8</v>
      </c>
      <c r="P13" s="14">
        <v>0.49270000000000003</v>
      </c>
      <c r="Q13" s="13">
        <v>5960.4</v>
      </c>
      <c r="R13" s="14">
        <v>66529.600000000006</v>
      </c>
      <c r="S13" s="13">
        <v>62834.9</v>
      </c>
      <c r="T13" s="14">
        <v>0.32069999999999999</v>
      </c>
      <c r="U13" s="15">
        <v>21336</v>
      </c>
      <c r="V13" s="12">
        <v>3324</v>
      </c>
      <c r="W13" s="13">
        <v>55.4</v>
      </c>
      <c r="X13" s="14">
        <v>212432.7</v>
      </c>
      <c r="Y13" s="13">
        <v>285440</v>
      </c>
      <c r="Z13" s="14">
        <v>6.6199999999999995E-2</v>
      </c>
      <c r="AA13" s="14">
        <v>33269</v>
      </c>
      <c r="AB13" s="13">
        <v>33330.9</v>
      </c>
      <c r="AC13" s="14">
        <v>6.7000000000000004E-2</v>
      </c>
      <c r="AD13" s="13">
        <v>2229.6999999999998</v>
      </c>
      <c r="AE13" s="14">
        <v>57687.6</v>
      </c>
      <c r="AF13" s="13">
        <v>55606.3</v>
      </c>
      <c r="AG13" s="14">
        <v>0.1086</v>
      </c>
      <c r="AH13" s="13">
        <v>6263.4</v>
      </c>
      <c r="AI13" s="14">
        <v>5433.1</v>
      </c>
      <c r="AJ13" s="13">
        <v>5421.5</v>
      </c>
      <c r="AK13" s="14">
        <v>6.2899999999999998E-2</v>
      </c>
      <c r="AL13" s="15">
        <v>341.8</v>
      </c>
      <c r="AM13" s="12">
        <f t="shared" si="2"/>
        <v>6.5505415162454872</v>
      </c>
      <c r="AN13" s="13">
        <f t="shared" si="0"/>
        <v>6.5505415162454872</v>
      </c>
      <c r="AO13" s="13">
        <f t="shared" si="0"/>
        <v>2.2783686315713163E-3</v>
      </c>
      <c r="AP13" s="13">
        <f t="shared" si="0"/>
        <v>1.0068665919282511E-3</v>
      </c>
      <c r="AQ13" s="13">
        <f t="shared" si="0"/>
        <v>247.31722054380666</v>
      </c>
      <c r="AR13" s="13">
        <f t="shared" si="0"/>
        <v>0.56549941386876668</v>
      </c>
      <c r="AS13" s="13">
        <f t="shared" si="0"/>
        <v>0.52721048636550472</v>
      </c>
      <c r="AT13" s="13">
        <f t="shared" si="0"/>
        <v>5.3417910447761194</v>
      </c>
      <c r="AU13" s="13">
        <f t="shared" si="0"/>
        <v>3.0201372381934792</v>
      </c>
      <c r="AV13" s="13">
        <f t="shared" si="0"/>
        <v>0.20971057904991716</v>
      </c>
      <c r="AW13" s="13">
        <f t="shared" si="0"/>
        <v>0.19607130846684637</v>
      </c>
      <c r="AX13" s="13">
        <f t="shared" si="0"/>
        <v>4.5368324125230206</v>
      </c>
      <c r="AY13" s="13">
        <f t="shared" si="0"/>
        <v>0.95162371874700646</v>
      </c>
      <c r="AZ13" s="13">
        <f t="shared" si="0"/>
        <v>12.245237525537906</v>
      </c>
      <c r="BA13" s="13">
        <f t="shared" si="0"/>
        <v>11.589947431522642</v>
      </c>
      <c r="BB13" s="13">
        <f t="shared" si="0"/>
        <v>5.0985691573926868</v>
      </c>
      <c r="BC13" s="15">
        <f t="shared" si="0"/>
        <v>62.422469280280865</v>
      </c>
    </row>
    <row r="14" spans="1:55" x14ac:dyDescent="0.2">
      <c r="B14" s="1">
        <f t="shared" si="3"/>
        <v>378.5</v>
      </c>
      <c r="C14" s="3">
        <f t="shared" si="1"/>
        <v>46088.479166666672</v>
      </c>
      <c r="D14" s="4">
        <v>669000</v>
      </c>
      <c r="E14" s="12">
        <v>36648</v>
      </c>
      <c r="F14" s="13">
        <v>610.82000000000005</v>
      </c>
      <c r="G14" s="14">
        <v>470.9</v>
      </c>
      <c r="H14" s="13">
        <v>275.60000000000002</v>
      </c>
      <c r="I14" s="14">
        <v>9.8290000000000006</v>
      </c>
      <c r="J14" s="14">
        <v>18945.2</v>
      </c>
      <c r="K14" s="13">
        <v>17819.599999999999</v>
      </c>
      <c r="L14" s="14">
        <v>0.35399999999999998</v>
      </c>
      <c r="M14" s="13">
        <v>6706.7</v>
      </c>
      <c r="N14" s="14">
        <v>13399.2</v>
      </c>
      <c r="O14" s="13">
        <v>12088.3</v>
      </c>
      <c r="P14" s="14">
        <v>0.48110000000000003</v>
      </c>
      <c r="Q14" s="13">
        <v>6446.3</v>
      </c>
      <c r="R14" s="14">
        <v>67414.100000000006</v>
      </c>
      <c r="S14" s="13">
        <v>63963.3</v>
      </c>
      <c r="T14" s="14">
        <v>0.32229999999999998</v>
      </c>
      <c r="U14" s="15">
        <v>21730.1</v>
      </c>
      <c r="V14" s="12">
        <v>200</v>
      </c>
      <c r="W14" s="13">
        <v>3.33</v>
      </c>
      <c r="X14" s="14">
        <v>214598.2</v>
      </c>
      <c r="Y14" s="13">
        <v>288613.90000000002</v>
      </c>
      <c r="Z14" s="14">
        <v>4.87E-2</v>
      </c>
      <c r="AA14" s="14">
        <v>33413.9</v>
      </c>
      <c r="AB14" s="13">
        <v>33540.400000000001</v>
      </c>
      <c r="AC14" s="14">
        <v>6.4100000000000004E-2</v>
      </c>
      <c r="AD14" s="13">
        <v>2140.1999999999998</v>
      </c>
      <c r="AE14" s="14">
        <v>63620.5</v>
      </c>
      <c r="AF14" s="13">
        <v>62505.3</v>
      </c>
      <c r="AG14" s="14">
        <v>7.4200000000000002E-2</v>
      </c>
      <c r="AH14" s="13">
        <v>4720.3999999999996</v>
      </c>
      <c r="AI14" s="14">
        <v>5564.4</v>
      </c>
      <c r="AJ14" s="13">
        <v>5555.3</v>
      </c>
      <c r="AK14" s="14">
        <v>5.8900000000000001E-2</v>
      </c>
      <c r="AL14" s="15">
        <v>327.5</v>
      </c>
      <c r="AM14" s="12">
        <f t="shared" si="2"/>
        <v>183.24</v>
      </c>
      <c r="AN14" s="13">
        <f t="shared" si="0"/>
        <v>183.42942942942943</v>
      </c>
      <c r="AO14" s="13">
        <f t="shared" si="0"/>
        <v>2.1943334100658811E-3</v>
      </c>
      <c r="AP14" s="13">
        <f t="shared" si="0"/>
        <v>9.5490896315111645E-4</v>
      </c>
      <c r="AQ14" s="13">
        <f t="shared" si="0"/>
        <v>201.82751540041068</v>
      </c>
      <c r="AR14" s="13">
        <f t="shared" si="0"/>
        <v>0.56698559581491537</v>
      </c>
      <c r="AS14" s="13">
        <f t="shared" si="0"/>
        <v>0.53128764117303307</v>
      </c>
      <c r="AT14" s="13">
        <f t="shared" si="0"/>
        <v>5.5226209048361925</v>
      </c>
      <c r="AU14" s="13">
        <f t="shared" si="0"/>
        <v>3.1336790954116438</v>
      </c>
      <c r="AV14" s="13">
        <f t="shared" si="0"/>
        <v>0.21061135954605828</v>
      </c>
      <c r="AW14" s="13">
        <f t="shared" si="0"/>
        <v>0.19339639998528121</v>
      </c>
      <c r="AX14" s="13">
        <f t="shared" si="0"/>
        <v>6.4838274932614555</v>
      </c>
      <c r="AY14" s="13">
        <f t="shared" si="0"/>
        <v>1.3656257944242014</v>
      </c>
      <c r="AZ14" s="13">
        <f t="shared" si="0"/>
        <v>12.115250521170299</v>
      </c>
      <c r="BA14" s="13">
        <f t="shared" si="0"/>
        <v>11.513923640487462</v>
      </c>
      <c r="BB14" s="13">
        <f t="shared" si="0"/>
        <v>5.4719864176570452</v>
      </c>
      <c r="BC14" s="15">
        <f t="shared" si="0"/>
        <v>66.351450381679385</v>
      </c>
    </row>
    <row r="15" spans="1:55" x14ac:dyDescent="0.2">
      <c r="B15" s="1">
        <f t="shared" si="3"/>
        <v>402.5</v>
      </c>
      <c r="C15" s="3">
        <f t="shared" si="1"/>
        <v>46089.479166666672</v>
      </c>
      <c r="D15" s="4">
        <v>865000</v>
      </c>
      <c r="E15" s="12">
        <v>14576</v>
      </c>
      <c r="F15" s="13">
        <v>242.95</v>
      </c>
      <c r="G15" s="14">
        <v>623.1</v>
      </c>
      <c r="H15" s="13">
        <v>534</v>
      </c>
      <c r="I15" s="14">
        <v>3.8691</v>
      </c>
      <c r="J15" s="14">
        <v>18562.400000000001</v>
      </c>
      <c r="K15" s="13">
        <v>17524.3</v>
      </c>
      <c r="L15" s="14">
        <v>0.34739999999999999</v>
      </c>
      <c r="M15" s="13">
        <v>6448.8</v>
      </c>
      <c r="N15" s="14">
        <v>14752.5</v>
      </c>
      <c r="O15" s="13">
        <v>13326.3</v>
      </c>
      <c r="P15" s="14">
        <v>0.47049999999999997</v>
      </c>
      <c r="Q15" s="13">
        <v>6941.6</v>
      </c>
      <c r="R15" s="14">
        <v>66599.899999999994</v>
      </c>
      <c r="S15" s="13">
        <v>63367.8</v>
      </c>
      <c r="T15" s="14">
        <v>0.32269999999999999</v>
      </c>
      <c r="U15" s="15">
        <v>21491.4</v>
      </c>
      <c r="V15" s="12">
        <v>950</v>
      </c>
      <c r="W15" s="13">
        <v>15.83</v>
      </c>
      <c r="X15" s="14">
        <v>212661</v>
      </c>
      <c r="Y15" s="13">
        <v>287780.2</v>
      </c>
      <c r="Z15" s="14">
        <v>6.6299999999999998E-2</v>
      </c>
      <c r="AA15" s="14">
        <v>33173.800000000003</v>
      </c>
      <c r="AB15" s="13">
        <v>33203.599999999999</v>
      </c>
      <c r="AC15" s="14">
        <v>8.14E-2</v>
      </c>
      <c r="AD15" s="13">
        <v>2701.6</v>
      </c>
      <c r="AE15" s="14">
        <v>68256.600000000006</v>
      </c>
      <c r="AF15" s="13">
        <v>68570</v>
      </c>
      <c r="AG15" s="14">
        <v>5.9499999999999997E-2</v>
      </c>
      <c r="AH15" s="13">
        <v>4060</v>
      </c>
      <c r="AI15" s="14">
        <v>5784.1</v>
      </c>
      <c r="AJ15" s="13">
        <v>5773.8</v>
      </c>
      <c r="AK15" s="14">
        <v>6.5299999999999997E-2</v>
      </c>
      <c r="AL15" s="15">
        <v>377.8</v>
      </c>
      <c r="AM15" s="12">
        <f t="shared" si="2"/>
        <v>15.343157894736843</v>
      </c>
      <c r="AN15" s="13">
        <f t="shared" si="0"/>
        <v>15.347441566645609</v>
      </c>
      <c r="AO15" s="13">
        <f t="shared" si="0"/>
        <v>2.9300153765852697E-3</v>
      </c>
      <c r="AP15" s="13">
        <f t="shared" si="0"/>
        <v>1.8555828371792083E-3</v>
      </c>
      <c r="AQ15" s="13">
        <f t="shared" si="0"/>
        <v>58.357466063348419</v>
      </c>
      <c r="AR15" s="13">
        <f t="shared" si="0"/>
        <v>0.55955000633029683</v>
      </c>
      <c r="AS15" s="13">
        <f t="shared" si="0"/>
        <v>0.52778313194954762</v>
      </c>
      <c r="AT15" s="13">
        <f t="shared" si="0"/>
        <v>4.2678132678132679</v>
      </c>
      <c r="AU15" s="13">
        <f t="shared" si="0"/>
        <v>2.3870299082025466</v>
      </c>
      <c r="AV15" s="13">
        <f t="shared" si="0"/>
        <v>0.21613294538550115</v>
      </c>
      <c r="AW15" s="13">
        <f t="shared" si="0"/>
        <v>0.19434592387341401</v>
      </c>
      <c r="AX15" s="13">
        <f t="shared" si="0"/>
        <v>7.9075630252100844</v>
      </c>
      <c r="AY15" s="13">
        <f t="shared" si="0"/>
        <v>1.7097536945812808</v>
      </c>
      <c r="AZ15" s="13">
        <f t="shared" si="0"/>
        <v>11.514306460814991</v>
      </c>
      <c r="BA15" s="13">
        <f t="shared" si="0"/>
        <v>10.975059752675881</v>
      </c>
      <c r="BB15" s="13">
        <f t="shared" si="0"/>
        <v>4.9418070444104139</v>
      </c>
      <c r="BC15" s="15">
        <f t="shared" si="0"/>
        <v>56.885653785071469</v>
      </c>
    </row>
    <row r="16" spans="1:55" x14ac:dyDescent="0.2">
      <c r="B16" s="1">
        <f>B17-24</f>
        <v>498.5</v>
      </c>
      <c r="C16" s="3">
        <f t="shared" si="1"/>
        <v>46093.479166666672</v>
      </c>
      <c r="D16" s="4">
        <v>8370000</v>
      </c>
      <c r="E16" s="12">
        <v>19633</v>
      </c>
      <c r="F16" s="13">
        <v>327.23</v>
      </c>
      <c r="G16" s="14">
        <v>524.20000000000005</v>
      </c>
      <c r="H16" s="13">
        <v>338.5</v>
      </c>
      <c r="I16" s="14">
        <v>17.974399999999999</v>
      </c>
      <c r="J16" s="14">
        <v>19478.400000000001</v>
      </c>
      <c r="K16" s="13">
        <v>18805.2</v>
      </c>
      <c r="L16" s="14">
        <v>0.31259999999999999</v>
      </c>
      <c r="M16" s="13">
        <v>6089.6</v>
      </c>
      <c r="N16" s="14">
        <v>14476</v>
      </c>
      <c r="O16" s="13">
        <v>12964.8</v>
      </c>
      <c r="P16" s="14">
        <v>0.49220000000000003</v>
      </c>
      <c r="Q16" s="13">
        <v>7124.5</v>
      </c>
      <c r="R16" s="14">
        <v>69260.2</v>
      </c>
      <c r="S16" s="13">
        <v>67245.3</v>
      </c>
      <c r="T16" s="14">
        <v>0.30790000000000001</v>
      </c>
      <c r="U16" s="15">
        <v>21326.6</v>
      </c>
      <c r="V16" s="12">
        <v>1209</v>
      </c>
      <c r="W16" s="13">
        <v>20.149999999999999</v>
      </c>
      <c r="X16" s="14">
        <v>215198.1</v>
      </c>
      <c r="Y16" s="13">
        <v>287340.79999999999</v>
      </c>
      <c r="Z16" s="14">
        <v>8.2500000000000004E-2</v>
      </c>
      <c r="AA16" s="14">
        <v>33536.699999999997</v>
      </c>
      <c r="AB16" s="13">
        <v>33645.300000000003</v>
      </c>
      <c r="AC16" s="14">
        <v>0.1004</v>
      </c>
      <c r="AD16" s="13">
        <v>3366.3</v>
      </c>
      <c r="AE16" s="14">
        <v>64827</v>
      </c>
      <c r="AF16" s="13">
        <v>64450.6</v>
      </c>
      <c r="AG16" s="14">
        <v>7.1199999999999999E-2</v>
      </c>
      <c r="AH16" s="13">
        <v>4612.8999999999996</v>
      </c>
      <c r="AI16" s="14">
        <v>5504.9</v>
      </c>
      <c r="AJ16" s="13">
        <v>5499</v>
      </c>
      <c r="AK16" s="14">
        <v>6.7599999999999993E-2</v>
      </c>
      <c r="AL16" s="15">
        <v>372.1</v>
      </c>
      <c r="AM16" s="12">
        <f t="shared" si="2"/>
        <v>16.239040529363109</v>
      </c>
      <c r="AN16" s="13">
        <f t="shared" si="0"/>
        <v>16.239702233250622</v>
      </c>
      <c r="AO16" s="13">
        <f t="shared" si="0"/>
        <v>2.4358951124568481E-3</v>
      </c>
      <c r="AP16" s="13">
        <f t="shared" si="0"/>
        <v>1.1780436332048912E-3</v>
      </c>
      <c r="AQ16" s="13">
        <f t="shared" si="0"/>
        <v>217.87151515151513</v>
      </c>
      <c r="AR16" s="13">
        <f t="shared" si="0"/>
        <v>0.5808084874182613</v>
      </c>
      <c r="AS16" s="13">
        <f t="shared" si="0"/>
        <v>0.55892502073097872</v>
      </c>
      <c r="AT16" s="13">
        <f t="shared" si="0"/>
        <v>3.1135458167330676</v>
      </c>
      <c r="AU16" s="13">
        <f t="shared" si="0"/>
        <v>1.8089890978225351</v>
      </c>
      <c r="AV16" s="13">
        <f t="shared" ref="AV16:AV19" si="4">N16/AE16</f>
        <v>0.22330201922038656</v>
      </c>
      <c r="AW16" s="13">
        <f t="shared" ref="AW16:AW19" si="5">O16/AF16</f>
        <v>0.20115871690876422</v>
      </c>
      <c r="AX16" s="13">
        <f t="shared" ref="AX16:AX19" si="6">P16/AG16</f>
        <v>6.9129213483146073</v>
      </c>
      <c r="AY16" s="13">
        <f t="shared" ref="AY16:AY19" si="7">Q16/AH16</f>
        <v>1.5444731080231526</v>
      </c>
      <c r="AZ16" s="13">
        <f t="shared" ref="AZ16:AZ19" si="8">R16/AI16</f>
        <v>12.581554614979382</v>
      </c>
      <c r="BA16" s="13">
        <f t="shared" ref="BA16:BA19" si="9">S16/AJ16</f>
        <v>12.228641571194764</v>
      </c>
      <c r="BB16" s="13">
        <f t="shared" ref="BB16:BB19" si="10">T16/AK16</f>
        <v>4.5547337278106514</v>
      </c>
      <c r="BC16" s="15">
        <f t="shared" ref="BC16:BC19" si="11">U16/AL16</f>
        <v>57.314162859446377</v>
      </c>
    </row>
    <row r="17" spans="2:55" x14ac:dyDescent="0.2">
      <c r="B17" s="1">
        <f>B8+13*24</f>
        <v>522.5</v>
      </c>
      <c r="C17" s="3">
        <f t="shared" si="1"/>
        <v>46094.479166666672</v>
      </c>
      <c r="D17" s="4">
        <v>10700000</v>
      </c>
      <c r="E17" s="12">
        <v>24257</v>
      </c>
      <c r="F17" s="13">
        <v>404.29</v>
      </c>
      <c r="G17" s="13">
        <v>525.79999999999995</v>
      </c>
      <c r="H17" s="13">
        <v>361.4</v>
      </c>
      <c r="I17" s="14">
        <v>12.462400000000001</v>
      </c>
      <c r="J17" s="13">
        <v>19375.7</v>
      </c>
      <c r="K17" s="13">
        <v>18962.400000000001</v>
      </c>
      <c r="L17" s="14">
        <v>0.30059999999999998</v>
      </c>
      <c r="M17" s="13">
        <v>5825</v>
      </c>
      <c r="N17" s="13">
        <v>14203.8</v>
      </c>
      <c r="O17" s="13">
        <v>12883</v>
      </c>
      <c r="P17" s="14">
        <v>0.4677</v>
      </c>
      <c r="Q17" s="13">
        <v>6642.9</v>
      </c>
      <c r="R17" s="13">
        <v>70651.199999999997</v>
      </c>
      <c r="S17" s="13">
        <v>69421.2</v>
      </c>
      <c r="T17" s="14">
        <v>0.29239999999999999</v>
      </c>
      <c r="U17" s="15">
        <v>20657.400000000001</v>
      </c>
      <c r="V17" s="12">
        <v>3106</v>
      </c>
      <c r="W17" s="13">
        <v>51.77</v>
      </c>
      <c r="X17" s="13">
        <v>213890.7</v>
      </c>
      <c r="Y17" s="13">
        <v>288282.8</v>
      </c>
      <c r="Z17" s="14">
        <v>4.9599999999999998E-2</v>
      </c>
      <c r="AA17" s="13">
        <v>33426.5</v>
      </c>
      <c r="AB17" s="13">
        <v>33420.699999999997</v>
      </c>
      <c r="AC17" s="14">
        <v>7.1499999999999994E-2</v>
      </c>
      <c r="AD17" s="13">
        <v>2389.8000000000002</v>
      </c>
      <c r="AE17" s="13">
        <v>64073.2</v>
      </c>
      <c r="AF17" s="13">
        <v>62973.9</v>
      </c>
      <c r="AG17" s="14">
        <v>6.9199999999999998E-2</v>
      </c>
      <c r="AH17" s="13">
        <v>4431.6000000000004</v>
      </c>
      <c r="AI17" s="13">
        <v>5708.8</v>
      </c>
      <c r="AJ17" s="13">
        <v>5677.1</v>
      </c>
      <c r="AK17" s="14">
        <v>5.7700000000000001E-2</v>
      </c>
      <c r="AL17" s="15">
        <v>329.1</v>
      </c>
      <c r="AM17" s="12">
        <f t="shared" si="2"/>
        <v>7.8097231165486152</v>
      </c>
      <c r="AN17" s="13">
        <f t="shared" ref="AN17:AN19" si="12">F17/W17</f>
        <v>7.8093490438477886</v>
      </c>
      <c r="AO17" s="13">
        <f t="shared" ref="AO17:AO19" si="13">G17/X17</f>
        <v>2.4582648988478693E-3</v>
      </c>
      <c r="AP17" s="13">
        <f t="shared" ref="AP17:AP19" si="14">H17/Y17</f>
        <v>1.2536301159833329E-3</v>
      </c>
      <c r="AQ17" s="13">
        <f t="shared" ref="AQ17:AQ19" si="15">I17/Z17</f>
        <v>251.25806451612905</v>
      </c>
      <c r="AR17" s="13">
        <f t="shared" ref="AR17:AR19" si="16">J17/AA17</f>
        <v>0.57965087580213304</v>
      </c>
      <c r="AS17" s="13">
        <f t="shared" ref="AS17:AS19" si="17">K17/AB17</f>
        <v>0.56738488421846345</v>
      </c>
      <c r="AT17" s="13">
        <f t="shared" ref="AT17:AT19" si="18">L17/AC17</f>
        <v>4.2041958041958045</v>
      </c>
      <c r="AU17" s="13">
        <f t="shared" ref="AU17:AU19" si="19">M17/AD17</f>
        <v>2.4374424638045022</v>
      </c>
      <c r="AV17" s="13">
        <f t="shared" si="4"/>
        <v>0.2216808275534857</v>
      </c>
      <c r="AW17" s="13">
        <f t="shared" si="5"/>
        <v>0.20457681674471487</v>
      </c>
      <c r="AX17" s="13">
        <f t="shared" si="6"/>
        <v>6.7586705202312141</v>
      </c>
      <c r="AY17" s="13">
        <f t="shared" si="7"/>
        <v>1.4989845653939884</v>
      </c>
      <c r="AZ17" s="13">
        <f t="shared" si="8"/>
        <v>12.375840807174887</v>
      </c>
      <c r="BA17" s="13">
        <f t="shared" si="9"/>
        <v>12.228285568335945</v>
      </c>
      <c r="BB17" s="13">
        <f t="shared" si="10"/>
        <v>5.0675909878682841</v>
      </c>
      <c r="BC17" s="15">
        <f t="shared" si="11"/>
        <v>62.769371011850502</v>
      </c>
    </row>
    <row r="18" spans="2:55" x14ac:dyDescent="0.2">
      <c r="B18" s="1">
        <f>B17+24</f>
        <v>546.5</v>
      </c>
      <c r="C18" s="3">
        <f t="shared" si="1"/>
        <v>46095.479166666672</v>
      </c>
      <c r="D18" s="4">
        <v>19700000</v>
      </c>
      <c r="E18" s="12">
        <v>19695</v>
      </c>
      <c r="F18" s="13">
        <v>328.25</v>
      </c>
      <c r="G18" s="13">
        <v>480.6</v>
      </c>
      <c r="H18" s="13">
        <v>281.10000000000002</v>
      </c>
      <c r="I18" s="14">
        <v>13.113200000000001</v>
      </c>
      <c r="J18" s="13">
        <v>20344.3</v>
      </c>
      <c r="K18" s="13">
        <v>19930.8</v>
      </c>
      <c r="L18" s="14">
        <v>0.2843</v>
      </c>
      <c r="M18" s="13">
        <v>5783.7</v>
      </c>
      <c r="N18" s="13">
        <v>16010</v>
      </c>
      <c r="O18" s="13">
        <v>14328.6</v>
      </c>
      <c r="P18" s="14">
        <v>0.48459999999999998</v>
      </c>
      <c r="Q18" s="13">
        <v>7758.4</v>
      </c>
      <c r="R18" s="13">
        <v>73819.3</v>
      </c>
      <c r="S18" s="13">
        <v>73008.3</v>
      </c>
      <c r="T18" s="14">
        <v>0.26869999999999999</v>
      </c>
      <c r="U18" s="15">
        <v>19837.7</v>
      </c>
      <c r="V18" s="12">
        <v>8299</v>
      </c>
      <c r="W18" s="13">
        <v>138.32</v>
      </c>
      <c r="X18" s="13">
        <v>214701.7</v>
      </c>
      <c r="Y18" s="13">
        <v>287119.7</v>
      </c>
      <c r="Z18" s="14">
        <v>6.6299999999999998E-2</v>
      </c>
      <c r="AA18" s="13">
        <v>33510.800000000003</v>
      </c>
      <c r="AB18" s="13">
        <v>33672.5</v>
      </c>
      <c r="AC18" s="14">
        <v>8.43E-2</v>
      </c>
      <c r="AD18" s="13">
        <v>2824.4</v>
      </c>
      <c r="AE18" s="13">
        <v>67516.7</v>
      </c>
      <c r="AF18" s="13">
        <v>67831.3</v>
      </c>
      <c r="AG18" s="14">
        <v>5.7200000000000001E-2</v>
      </c>
      <c r="AH18" s="13">
        <v>3862.6</v>
      </c>
      <c r="AI18" s="13">
        <v>5571.7</v>
      </c>
      <c r="AJ18" s="13">
        <v>5556.3</v>
      </c>
      <c r="AK18" s="14">
        <v>6.5100000000000005E-2</v>
      </c>
      <c r="AL18" s="15">
        <v>363</v>
      </c>
      <c r="AM18" s="12">
        <f t="shared" si="2"/>
        <v>2.3731774912640078</v>
      </c>
      <c r="AN18" s="13">
        <f t="shared" si="12"/>
        <v>2.37312030075188</v>
      </c>
      <c r="AO18" s="13">
        <f t="shared" si="13"/>
        <v>2.2384545627724419E-3</v>
      </c>
      <c r="AP18" s="13">
        <f t="shared" si="14"/>
        <v>9.7903417982116874E-4</v>
      </c>
      <c r="AQ18" s="13">
        <f t="shared" si="15"/>
        <v>197.78582202111616</v>
      </c>
      <c r="AR18" s="13">
        <f t="shared" si="16"/>
        <v>0.60709681654869463</v>
      </c>
      <c r="AS18" s="13">
        <f t="shared" si="17"/>
        <v>0.59190140322221396</v>
      </c>
      <c r="AT18" s="13">
        <f t="shared" si="18"/>
        <v>3.3724792408066429</v>
      </c>
      <c r="AU18" s="13">
        <f t="shared" si="19"/>
        <v>2.0477623566067127</v>
      </c>
      <c r="AV18" s="13">
        <f t="shared" si="4"/>
        <v>0.23712651832805812</v>
      </c>
      <c r="AW18" s="13">
        <f t="shared" si="5"/>
        <v>0.21123876440522296</v>
      </c>
      <c r="AX18" s="13">
        <f t="shared" si="6"/>
        <v>8.4720279720279716</v>
      </c>
      <c r="AY18" s="13">
        <f t="shared" si="7"/>
        <v>2.0085952467250037</v>
      </c>
      <c r="AZ18" s="13">
        <f t="shared" si="8"/>
        <v>13.248972485955813</v>
      </c>
      <c r="BA18" s="13">
        <f t="shared" si="9"/>
        <v>13.139733275741051</v>
      </c>
      <c r="BB18" s="13">
        <f t="shared" si="10"/>
        <v>4.1274961597542239</v>
      </c>
      <c r="BC18" s="15">
        <f t="shared" si="11"/>
        <v>54.649311294765845</v>
      </c>
    </row>
    <row r="19" spans="2:55" x14ac:dyDescent="0.2">
      <c r="B19" s="1">
        <f>B18+24</f>
        <v>570.5</v>
      </c>
      <c r="C19" s="3">
        <f t="shared" si="1"/>
        <v>46096.479166666672</v>
      </c>
      <c r="D19" s="4">
        <v>28800000</v>
      </c>
      <c r="E19" s="16">
        <v>28088</v>
      </c>
      <c r="F19" s="17">
        <v>468.14</v>
      </c>
      <c r="G19" s="17">
        <v>453.9</v>
      </c>
      <c r="H19" s="17">
        <v>239.6</v>
      </c>
      <c r="I19" s="18">
        <v>0.81920000000000004</v>
      </c>
      <c r="J19" s="17">
        <v>20286.599999999999</v>
      </c>
      <c r="K19" s="17">
        <v>19668.900000000001</v>
      </c>
      <c r="L19" s="18">
        <v>0.2868</v>
      </c>
      <c r="M19" s="17">
        <v>5819.1</v>
      </c>
      <c r="N19" s="17">
        <v>16788.3</v>
      </c>
      <c r="O19" s="17">
        <v>15031.3</v>
      </c>
      <c r="P19" s="18">
        <v>0.48559999999999998</v>
      </c>
      <c r="Q19" s="17">
        <v>8152.6</v>
      </c>
      <c r="R19" s="17">
        <v>73572.399999999994</v>
      </c>
      <c r="S19" s="17">
        <v>71840.5</v>
      </c>
      <c r="T19" s="18">
        <v>0.26650000000000001</v>
      </c>
      <c r="U19" s="19">
        <v>19610</v>
      </c>
      <c r="V19" s="16">
        <v>100</v>
      </c>
      <c r="W19" s="17">
        <v>1.67</v>
      </c>
      <c r="X19" s="17">
        <v>215996.6</v>
      </c>
      <c r="Y19" s="17">
        <v>288228.40000000002</v>
      </c>
      <c r="Z19" s="18">
        <v>0.1113</v>
      </c>
      <c r="AA19" s="17">
        <v>33139.699999999997</v>
      </c>
      <c r="AB19" s="17">
        <v>33303.4</v>
      </c>
      <c r="AC19" s="18">
        <v>0.1011</v>
      </c>
      <c r="AD19" s="17">
        <v>3350.3</v>
      </c>
      <c r="AE19" s="17">
        <v>70658.100000000006</v>
      </c>
      <c r="AF19" s="17">
        <v>71040</v>
      </c>
      <c r="AG19" s="18">
        <v>5.1200000000000002E-2</v>
      </c>
      <c r="AH19" s="17">
        <v>3615.3</v>
      </c>
      <c r="AI19" s="17">
        <v>5659.6</v>
      </c>
      <c r="AJ19" s="17">
        <v>5636</v>
      </c>
      <c r="AK19" s="18">
        <v>5.8400000000000001E-2</v>
      </c>
      <c r="AL19" s="19">
        <v>330.7</v>
      </c>
      <c r="AM19" s="16">
        <f t="shared" si="2"/>
        <v>280.88</v>
      </c>
      <c r="AN19" s="17">
        <f t="shared" si="12"/>
        <v>280.32335329341316</v>
      </c>
      <c r="AO19" s="17">
        <f t="shared" si="13"/>
        <v>2.1014219668272554E-3</v>
      </c>
      <c r="AP19" s="17">
        <f t="shared" si="14"/>
        <v>8.3128518910697202E-4</v>
      </c>
      <c r="AQ19" s="17">
        <f t="shared" si="15"/>
        <v>7.3602875112309079</v>
      </c>
      <c r="AR19" s="17">
        <f t="shared" si="16"/>
        <v>0.61215400260110986</v>
      </c>
      <c r="AS19" s="17">
        <f t="shared" si="17"/>
        <v>0.59059735642607059</v>
      </c>
      <c r="AT19" s="17">
        <f t="shared" si="18"/>
        <v>2.8367952522255195</v>
      </c>
      <c r="AU19" s="17">
        <f t="shared" si="19"/>
        <v>1.7368892337999582</v>
      </c>
      <c r="AV19" s="17">
        <f t="shared" si="4"/>
        <v>0.23759908630433027</v>
      </c>
      <c r="AW19" s="17">
        <f t="shared" si="5"/>
        <v>0.21158924549549549</v>
      </c>
      <c r="AX19" s="17">
        <f t="shared" si="6"/>
        <v>9.4843749999999982</v>
      </c>
      <c r="AY19" s="17">
        <f t="shared" si="7"/>
        <v>2.2550272453185074</v>
      </c>
      <c r="AZ19" s="17">
        <f t="shared" si="8"/>
        <v>12.999575941762666</v>
      </c>
      <c r="BA19" s="17">
        <f t="shared" si="9"/>
        <v>12.746717530163236</v>
      </c>
      <c r="BB19" s="17">
        <f t="shared" si="10"/>
        <v>4.5633561643835616</v>
      </c>
      <c r="BC19" s="19">
        <f>U19/AL19</f>
        <v>59.298457816752347</v>
      </c>
    </row>
    <row r="27" spans="2:55" x14ac:dyDescent="0.2">
      <c r="K27" s="2"/>
      <c r="N27" s="2"/>
      <c r="R27" s="2"/>
      <c r="V27" s="2"/>
    </row>
    <row r="28" spans="2:55" x14ac:dyDescent="0.2">
      <c r="I28" s="2"/>
      <c r="K28" s="2"/>
      <c r="L28" s="2"/>
      <c r="N28" s="2"/>
      <c r="P28" s="2"/>
      <c r="R28" s="2"/>
      <c r="T28" s="2"/>
      <c r="V28" s="2"/>
    </row>
    <row r="29" spans="2:55" x14ac:dyDescent="0.2">
      <c r="I29" s="2"/>
      <c r="K29" s="2"/>
      <c r="L29" s="2"/>
      <c r="N29" s="2"/>
      <c r="P29" s="2"/>
      <c r="R29" s="2"/>
      <c r="T29" s="2"/>
      <c r="V29" s="2"/>
    </row>
    <row r="30" spans="2:55" x14ac:dyDescent="0.2">
      <c r="I30" s="2"/>
      <c r="L30" s="2"/>
      <c r="P30" s="2"/>
      <c r="T30" s="2"/>
    </row>
  </sheetData>
  <mergeCells count="3">
    <mergeCell ref="E1:U1"/>
    <mergeCell ref="V1:AL1"/>
    <mergeCell ref="AM1:B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0"/>
  <sheetViews>
    <sheetView workbookViewId="0">
      <selection activeCell="AM1" sqref="AM1:BC2"/>
    </sheetView>
  </sheetViews>
  <sheetFormatPr baseColWidth="10" defaultColWidth="8.83203125" defaultRowHeight="15" outlineLevelCol="1" x14ac:dyDescent="0.2"/>
  <cols>
    <col min="1" max="1" width="12.5" customWidth="1"/>
    <col min="2" max="2" width="6.6640625" style="1" customWidth="1"/>
    <col min="3" max="3" width="10.5" style="3" customWidth="1"/>
    <col min="4" max="4" width="12.5" style="3" customWidth="1"/>
    <col min="5" max="38" width="6.6640625" hidden="1" customWidth="1" outlineLevel="1"/>
    <col min="39" max="39" width="8.83203125" collapsed="1"/>
  </cols>
  <sheetData>
    <row r="1" spans="1:55" x14ac:dyDescent="0.2">
      <c r="E1" s="6" t="s">
        <v>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6" t="s">
        <v>0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8"/>
      <c r="AM1" s="6" t="s">
        <v>21</v>
      </c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8"/>
    </row>
    <row r="2" spans="1:55" x14ac:dyDescent="0.2">
      <c r="C2" s="3" t="s">
        <v>3</v>
      </c>
      <c r="D2" s="3" t="s">
        <v>2</v>
      </c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0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2"/>
      <c r="AM2" t="s">
        <v>4</v>
      </c>
      <c r="AN2" t="s">
        <v>5</v>
      </c>
      <c r="AO2" s="5" t="s">
        <v>6</v>
      </c>
      <c r="AP2" t="s">
        <v>7</v>
      </c>
      <c r="AQ2" t="s">
        <v>8</v>
      </c>
      <c r="AR2" s="5" t="s">
        <v>9</v>
      </c>
      <c r="AS2" t="s">
        <v>10</v>
      </c>
      <c r="AT2" t="s">
        <v>11</v>
      </c>
      <c r="AU2" t="s">
        <v>12</v>
      </c>
      <c r="AV2" s="5" t="s">
        <v>13</v>
      </c>
      <c r="AW2" t="s">
        <v>14</v>
      </c>
      <c r="AX2" t="s">
        <v>15</v>
      </c>
      <c r="AY2" t="s">
        <v>16</v>
      </c>
      <c r="AZ2" s="5" t="s">
        <v>17</v>
      </c>
      <c r="BA2" t="s">
        <v>18</v>
      </c>
      <c r="BB2" t="s">
        <v>19</v>
      </c>
      <c r="BC2" t="s">
        <v>20</v>
      </c>
    </row>
    <row r="3" spans="1:55" x14ac:dyDescent="0.2">
      <c r="A3" s="3">
        <v>46072.708333333336</v>
      </c>
      <c r="B3" s="1">
        <f>18.5+24</f>
        <v>42.5</v>
      </c>
      <c r="C3" s="3">
        <f>B3/24+$A$3</f>
        <v>46074.479166666672</v>
      </c>
      <c r="D3" s="4">
        <v>1900000</v>
      </c>
      <c r="E3" s="12">
        <v>11540</v>
      </c>
      <c r="F3" s="13">
        <v>192.34</v>
      </c>
      <c r="G3" s="14">
        <v>464.9</v>
      </c>
      <c r="H3" s="13">
        <v>253.8</v>
      </c>
      <c r="I3" s="14">
        <v>13.576000000000001</v>
      </c>
      <c r="J3" s="14">
        <v>20030.8</v>
      </c>
      <c r="K3" s="13">
        <v>19039.2</v>
      </c>
      <c r="L3" s="14">
        <v>0.3705</v>
      </c>
      <c r="M3" s="13">
        <v>7421.5</v>
      </c>
      <c r="N3" s="14">
        <v>15129</v>
      </c>
      <c r="O3" s="13">
        <v>13538.2</v>
      </c>
      <c r="P3" s="14">
        <v>0.48770000000000002</v>
      </c>
      <c r="Q3" s="13">
        <v>7377.9</v>
      </c>
      <c r="R3" s="14">
        <v>65038.5</v>
      </c>
      <c r="S3" s="13">
        <v>62513.599999999999</v>
      </c>
      <c r="T3" s="14">
        <v>0.31940000000000002</v>
      </c>
      <c r="U3" s="15">
        <v>20770.900000000001</v>
      </c>
      <c r="V3" s="12">
        <v>516</v>
      </c>
      <c r="W3" s="13">
        <v>8.6</v>
      </c>
      <c r="X3" s="14">
        <v>228364.79999999999</v>
      </c>
      <c r="Y3" s="13">
        <v>310433</v>
      </c>
      <c r="Z3" s="14">
        <v>5.7700000000000001E-2</v>
      </c>
      <c r="AA3" s="14">
        <v>34101.300000000003</v>
      </c>
      <c r="AB3" s="13">
        <v>33998.800000000003</v>
      </c>
      <c r="AC3" s="14">
        <v>8.0399999999999999E-2</v>
      </c>
      <c r="AD3" s="13">
        <v>2742.2</v>
      </c>
      <c r="AE3" s="14">
        <v>67704.899999999994</v>
      </c>
      <c r="AF3" s="13">
        <v>67084.5</v>
      </c>
      <c r="AG3" s="14">
        <v>5.3999999999999999E-2</v>
      </c>
      <c r="AH3" s="13">
        <v>3654.2</v>
      </c>
      <c r="AI3" s="14">
        <v>6063.6</v>
      </c>
      <c r="AJ3" s="13">
        <v>6029.8</v>
      </c>
      <c r="AK3" s="14">
        <v>5.79E-2</v>
      </c>
      <c r="AL3" s="15">
        <v>350.8</v>
      </c>
      <c r="AM3" s="12">
        <f>E3/V3</f>
        <v>22.364341085271317</v>
      </c>
      <c r="AN3" s="13">
        <f t="shared" ref="AN3:BI14" si="0">F3/W3</f>
        <v>22.36511627906977</v>
      </c>
      <c r="AO3" s="13">
        <f t="shared" si="0"/>
        <v>2.0357778431702258E-3</v>
      </c>
      <c r="AP3" s="13">
        <f t="shared" si="0"/>
        <v>8.175677199266831E-4</v>
      </c>
      <c r="AQ3" s="13">
        <f t="shared" si="0"/>
        <v>235.28596187175043</v>
      </c>
      <c r="AR3" s="13">
        <f t="shared" si="0"/>
        <v>0.58739109652711174</v>
      </c>
      <c r="AS3" s="13">
        <f t="shared" si="0"/>
        <v>0.55999623516124097</v>
      </c>
      <c r="AT3" s="13">
        <f t="shared" si="0"/>
        <v>4.6082089552238807</v>
      </c>
      <c r="AU3" s="13">
        <f t="shared" si="0"/>
        <v>2.7064036175333674</v>
      </c>
      <c r="AV3" s="13">
        <f t="shared" si="0"/>
        <v>0.22345502319625318</v>
      </c>
      <c r="AW3" s="13">
        <f t="shared" si="0"/>
        <v>0.20180816731137596</v>
      </c>
      <c r="AX3" s="13">
        <f t="shared" si="0"/>
        <v>9.0314814814814817</v>
      </c>
      <c r="AY3" s="13">
        <f t="shared" si="0"/>
        <v>2.0190192107711673</v>
      </c>
      <c r="AZ3" s="13">
        <f t="shared" si="0"/>
        <v>10.726053829408272</v>
      </c>
      <c r="BA3" s="13">
        <f t="shared" si="0"/>
        <v>10.367441706192576</v>
      </c>
      <c r="BB3" s="13">
        <f t="shared" si="0"/>
        <v>5.5164075993091544</v>
      </c>
      <c r="BC3" s="15">
        <f t="shared" si="0"/>
        <v>59.210091220068421</v>
      </c>
    </row>
    <row r="4" spans="1:55" x14ac:dyDescent="0.2">
      <c r="B4" s="1">
        <f>B3+24</f>
        <v>66.5</v>
      </c>
      <c r="C4" s="3">
        <f t="shared" ref="C4:C19" si="1">B4/24+$A$3</f>
        <v>46075.479166666672</v>
      </c>
      <c r="D4" s="4">
        <v>1390000</v>
      </c>
      <c r="E4" s="12">
        <v>6628</v>
      </c>
      <c r="F4" s="14">
        <v>110.47</v>
      </c>
      <c r="G4" s="13">
        <v>1195.3</v>
      </c>
      <c r="H4" s="13">
        <v>1400.7</v>
      </c>
      <c r="I4" s="14">
        <v>14.0924</v>
      </c>
      <c r="J4" s="13">
        <v>22211.599999999999</v>
      </c>
      <c r="K4" s="13">
        <v>20821.7</v>
      </c>
      <c r="L4" s="14">
        <v>0.44719999999999999</v>
      </c>
      <c r="M4" s="14">
        <v>9932.2999999999993</v>
      </c>
      <c r="N4" s="13">
        <v>18453.3</v>
      </c>
      <c r="O4" s="13">
        <v>16238.8</v>
      </c>
      <c r="P4" s="14">
        <v>0.53120000000000001</v>
      </c>
      <c r="Q4" s="14">
        <v>9802.9</v>
      </c>
      <c r="R4" s="13">
        <v>68447.399999999994</v>
      </c>
      <c r="S4" s="13">
        <v>64920.5</v>
      </c>
      <c r="T4" s="14">
        <v>0.38879999999999998</v>
      </c>
      <c r="U4" s="15">
        <v>26615.200000000001</v>
      </c>
      <c r="V4" s="12">
        <v>1880</v>
      </c>
      <c r="W4" s="14">
        <v>31.33</v>
      </c>
      <c r="X4" s="13">
        <v>227850.2</v>
      </c>
      <c r="Y4" s="13">
        <v>311006.5</v>
      </c>
      <c r="Z4" s="14">
        <v>7.1599999999999997E-2</v>
      </c>
      <c r="AA4" s="13">
        <v>33902.9</v>
      </c>
      <c r="AB4" s="13">
        <v>33994.1</v>
      </c>
      <c r="AC4" s="14">
        <v>9.01E-2</v>
      </c>
      <c r="AD4" s="14">
        <v>3053.2</v>
      </c>
      <c r="AE4" s="13">
        <v>69595.3</v>
      </c>
      <c r="AF4" s="13">
        <v>69689.8</v>
      </c>
      <c r="AG4" s="14">
        <v>5.2600000000000001E-2</v>
      </c>
      <c r="AH4" s="14">
        <v>3661.3</v>
      </c>
      <c r="AI4" s="13">
        <v>6132.3</v>
      </c>
      <c r="AJ4" s="13">
        <v>6116.3</v>
      </c>
      <c r="AK4" s="14">
        <v>6.25E-2</v>
      </c>
      <c r="AL4" s="15">
        <v>383.1</v>
      </c>
      <c r="AM4" s="12">
        <f t="shared" ref="AM4:AM19" si="2">E4/V4</f>
        <v>3.5255319148936168</v>
      </c>
      <c r="AN4" s="13">
        <f t="shared" si="0"/>
        <v>3.5260134056814558</v>
      </c>
      <c r="AO4" s="13">
        <f t="shared" si="0"/>
        <v>5.2459905674868837E-3</v>
      </c>
      <c r="AP4" s="13">
        <f t="shared" si="0"/>
        <v>4.5037643907763986E-3</v>
      </c>
      <c r="AQ4" s="13">
        <f t="shared" si="0"/>
        <v>196.82122905027933</v>
      </c>
      <c r="AR4" s="13">
        <f t="shared" si="0"/>
        <v>0.65515339395744898</v>
      </c>
      <c r="AS4" s="13">
        <f t="shared" si="0"/>
        <v>0.61250922954277365</v>
      </c>
      <c r="AT4" s="13">
        <f t="shared" si="0"/>
        <v>4.9633740288568253</v>
      </c>
      <c r="AU4" s="13">
        <f t="shared" si="0"/>
        <v>3.2530787370627539</v>
      </c>
      <c r="AV4" s="13">
        <f t="shared" si="0"/>
        <v>0.26515152603695935</v>
      </c>
      <c r="AW4" s="13">
        <f t="shared" si="0"/>
        <v>0.23301544845874142</v>
      </c>
      <c r="AX4" s="13">
        <f t="shared" si="0"/>
        <v>10.098859315589353</v>
      </c>
      <c r="AY4" s="13">
        <f t="shared" si="0"/>
        <v>2.6774369759375083</v>
      </c>
      <c r="AZ4" s="13">
        <f t="shared" si="0"/>
        <v>11.161782691649135</v>
      </c>
      <c r="BA4" s="13">
        <f t="shared" si="0"/>
        <v>10.614342004152837</v>
      </c>
      <c r="BB4" s="13">
        <f t="shared" si="0"/>
        <v>6.2207999999999997</v>
      </c>
      <c r="BC4" s="15">
        <f t="shared" si="0"/>
        <v>69.473244583659621</v>
      </c>
    </row>
    <row r="5" spans="1:55" x14ac:dyDescent="0.2">
      <c r="B5" s="1">
        <f>B4+24</f>
        <v>90.5</v>
      </c>
      <c r="C5" s="3">
        <f t="shared" si="1"/>
        <v>46076.479166666672</v>
      </c>
      <c r="D5" s="4">
        <v>277000</v>
      </c>
      <c r="E5" s="12">
        <v>8446</v>
      </c>
      <c r="F5" s="14">
        <v>140.77000000000001</v>
      </c>
      <c r="G5" s="13">
        <v>1701</v>
      </c>
      <c r="H5" s="13">
        <v>2153.1999999999998</v>
      </c>
      <c r="I5" s="14">
        <v>1.4388000000000001</v>
      </c>
      <c r="J5" s="13">
        <v>21001.7</v>
      </c>
      <c r="K5" s="13">
        <v>19388.8</v>
      </c>
      <c r="L5" s="14">
        <v>0.49769999999999998</v>
      </c>
      <c r="M5" s="14">
        <v>10452.299999999999</v>
      </c>
      <c r="N5" s="13">
        <v>18400.3</v>
      </c>
      <c r="O5" s="13">
        <v>16234.1</v>
      </c>
      <c r="P5" s="14">
        <v>0.52270000000000005</v>
      </c>
      <c r="Q5" s="14">
        <v>9617.4</v>
      </c>
      <c r="R5" s="13">
        <v>57362.8</v>
      </c>
      <c r="S5" s="13">
        <v>51747.9</v>
      </c>
      <c r="T5" s="14">
        <v>0.4425</v>
      </c>
      <c r="U5" s="15">
        <v>25380.5</v>
      </c>
      <c r="V5" s="12">
        <v>831</v>
      </c>
      <c r="W5" s="14">
        <v>13.85</v>
      </c>
      <c r="X5" s="13">
        <v>193992.4</v>
      </c>
      <c r="Y5" s="13">
        <v>263202.7</v>
      </c>
      <c r="Z5" s="14">
        <v>0.3483</v>
      </c>
      <c r="AA5" s="13">
        <v>32348.5</v>
      </c>
      <c r="AB5" s="13">
        <v>33356.800000000003</v>
      </c>
      <c r="AC5" s="14">
        <v>0.1482</v>
      </c>
      <c r="AD5" s="14">
        <v>4793.8999999999996</v>
      </c>
      <c r="AE5" s="13">
        <v>68021.8</v>
      </c>
      <c r="AF5" s="13">
        <v>67778.5</v>
      </c>
      <c r="AG5" s="14">
        <v>7.6499999999999999E-2</v>
      </c>
      <c r="AH5" s="14">
        <v>5202.8999999999996</v>
      </c>
      <c r="AI5" s="13">
        <v>5917.4</v>
      </c>
      <c r="AJ5" s="13">
        <v>5905.9</v>
      </c>
      <c r="AK5" s="14">
        <v>7.2700000000000001E-2</v>
      </c>
      <c r="AL5" s="15">
        <v>430.5</v>
      </c>
      <c r="AM5" s="12">
        <f t="shared" si="2"/>
        <v>10.163658243080626</v>
      </c>
      <c r="AN5" s="13">
        <f t="shared" si="0"/>
        <v>10.16389891696751</v>
      </c>
      <c r="AO5" s="13">
        <f t="shared" si="0"/>
        <v>8.7683847408455175E-3</v>
      </c>
      <c r="AP5" s="13">
        <f t="shared" si="0"/>
        <v>8.1807671425863024E-3</v>
      </c>
      <c r="AQ5" s="13">
        <f t="shared" si="0"/>
        <v>4.1309216192937122</v>
      </c>
      <c r="AR5" s="13">
        <f t="shared" si="0"/>
        <v>0.64923257647186117</v>
      </c>
      <c r="AS5" s="13">
        <f t="shared" si="0"/>
        <v>0.58125479662317725</v>
      </c>
      <c r="AT5" s="13">
        <f t="shared" si="0"/>
        <v>3.3582995951417001</v>
      </c>
      <c r="AU5" s="13">
        <f t="shared" si="0"/>
        <v>2.1803333402866141</v>
      </c>
      <c r="AV5" s="13">
        <f t="shared" si="0"/>
        <v>0.27050592604135731</v>
      </c>
      <c r="AW5" s="13">
        <f t="shared" si="0"/>
        <v>0.23951695596686265</v>
      </c>
      <c r="AX5" s="13">
        <f t="shared" si="0"/>
        <v>6.8326797385620921</v>
      </c>
      <c r="AY5" s="13">
        <f t="shared" si="0"/>
        <v>1.8484691229891024</v>
      </c>
      <c r="AZ5" s="13">
        <f t="shared" si="0"/>
        <v>9.6939196268631509</v>
      </c>
      <c r="BA5" s="13">
        <f t="shared" si="0"/>
        <v>8.7620684400345432</v>
      </c>
      <c r="BB5" s="13">
        <f t="shared" si="0"/>
        <v>6.0866574965612106</v>
      </c>
      <c r="BC5" s="15">
        <f t="shared" si="0"/>
        <v>58.955865272938446</v>
      </c>
    </row>
    <row r="6" spans="1:55" x14ac:dyDescent="0.2">
      <c r="B6" s="1">
        <f>B5+3*24</f>
        <v>162.5</v>
      </c>
      <c r="C6" s="3">
        <f t="shared" si="1"/>
        <v>46079.479166666672</v>
      </c>
      <c r="D6" s="4">
        <v>2320</v>
      </c>
      <c r="E6" s="12">
        <v>157</v>
      </c>
      <c r="F6" s="14">
        <v>2.62</v>
      </c>
      <c r="G6" s="13">
        <v>566.6</v>
      </c>
      <c r="H6" s="13">
        <v>439.8</v>
      </c>
      <c r="I6" s="14">
        <v>1.7492000000000001</v>
      </c>
      <c r="J6" s="13">
        <v>18818.8</v>
      </c>
      <c r="K6" s="13">
        <v>17047.5</v>
      </c>
      <c r="L6" s="14">
        <v>0.3352</v>
      </c>
      <c r="M6" s="14">
        <v>6308.3</v>
      </c>
      <c r="N6" s="13">
        <v>13328.6</v>
      </c>
      <c r="O6" s="13">
        <v>12055.3</v>
      </c>
      <c r="P6" s="14">
        <v>0.51029999999999998</v>
      </c>
      <c r="Q6" s="14">
        <v>6801.5</v>
      </c>
      <c r="R6" s="13">
        <v>62438.1</v>
      </c>
      <c r="S6" s="13">
        <v>58707.4</v>
      </c>
      <c r="T6" s="14">
        <v>0.29759999999999998</v>
      </c>
      <c r="U6" s="15">
        <v>18578.599999999999</v>
      </c>
      <c r="V6" s="12">
        <v>704</v>
      </c>
      <c r="W6" s="14">
        <v>11.73</v>
      </c>
      <c r="X6" s="13">
        <v>216705.5</v>
      </c>
      <c r="Y6" s="13">
        <v>294003</v>
      </c>
      <c r="Z6" s="14">
        <v>7.1800000000000003E-2</v>
      </c>
      <c r="AA6" s="13">
        <v>33676.9</v>
      </c>
      <c r="AB6" s="13">
        <v>33650.699999999997</v>
      </c>
      <c r="AC6" s="14">
        <v>9.7600000000000006E-2</v>
      </c>
      <c r="AD6" s="14">
        <v>3287.8</v>
      </c>
      <c r="AE6" s="13">
        <v>63703.199999999997</v>
      </c>
      <c r="AF6" s="13">
        <v>62238.1</v>
      </c>
      <c r="AG6" s="14">
        <v>8.4900000000000003E-2</v>
      </c>
      <c r="AH6" s="14">
        <v>5407.3</v>
      </c>
      <c r="AI6" s="13">
        <v>5859.1</v>
      </c>
      <c r="AJ6" s="13">
        <v>5825.1</v>
      </c>
      <c r="AK6" s="14">
        <v>6.2300000000000001E-2</v>
      </c>
      <c r="AL6" s="15">
        <v>365.1</v>
      </c>
      <c r="AM6" s="12">
        <f t="shared" si="2"/>
        <v>0.22301136363636365</v>
      </c>
      <c r="AN6" s="13">
        <f t="shared" si="0"/>
        <v>0.22335890878090367</v>
      </c>
      <c r="AO6" s="13">
        <f t="shared" si="0"/>
        <v>2.6146083048192133E-3</v>
      </c>
      <c r="AP6" s="13">
        <f t="shared" si="0"/>
        <v>1.495903103029561E-3</v>
      </c>
      <c r="AQ6" s="13">
        <f t="shared" si="0"/>
        <v>24.362116991643454</v>
      </c>
      <c r="AR6" s="13">
        <f t="shared" si="0"/>
        <v>0.55880440301809242</v>
      </c>
      <c r="AS6" s="13">
        <f t="shared" si="0"/>
        <v>0.5066016457309952</v>
      </c>
      <c r="AT6" s="13">
        <f t="shared" si="0"/>
        <v>3.4344262295081966</v>
      </c>
      <c r="AU6" s="13">
        <f t="shared" si="0"/>
        <v>1.9186994342721577</v>
      </c>
      <c r="AV6" s="13">
        <f t="shared" si="0"/>
        <v>0.20922967763000919</v>
      </c>
      <c r="AW6" s="13">
        <f t="shared" si="0"/>
        <v>0.19369646566974247</v>
      </c>
      <c r="AX6" s="13">
        <f t="shared" si="0"/>
        <v>6.0106007067137801</v>
      </c>
      <c r="AY6" s="13">
        <f t="shared" si="0"/>
        <v>1.2578366282617941</v>
      </c>
      <c r="AZ6" s="13">
        <f t="shared" si="0"/>
        <v>10.656602549879674</v>
      </c>
      <c r="BA6" s="13">
        <f t="shared" si="0"/>
        <v>10.078350586256029</v>
      </c>
      <c r="BB6" s="13">
        <f t="shared" si="0"/>
        <v>4.7768860353130007</v>
      </c>
      <c r="BC6" s="15">
        <f t="shared" si="0"/>
        <v>50.886332511640639</v>
      </c>
    </row>
    <row r="7" spans="1:55" x14ac:dyDescent="0.2">
      <c r="B7" s="1">
        <f>B6+24</f>
        <v>186.5</v>
      </c>
      <c r="C7" s="3">
        <f t="shared" si="1"/>
        <v>46080.479166666672</v>
      </c>
      <c r="D7" s="4">
        <v>3310</v>
      </c>
      <c r="E7" s="12">
        <v>250</v>
      </c>
      <c r="F7" s="14">
        <v>4.17</v>
      </c>
      <c r="G7" s="13">
        <v>478.3</v>
      </c>
      <c r="H7" s="13">
        <v>289.8</v>
      </c>
      <c r="I7" s="14">
        <v>0.748</v>
      </c>
      <c r="J7" s="13">
        <v>21178.1</v>
      </c>
      <c r="K7" s="13">
        <v>19253.8</v>
      </c>
      <c r="L7" s="14">
        <v>0.44729999999999998</v>
      </c>
      <c r="M7" s="14">
        <v>9473</v>
      </c>
      <c r="N7" s="13">
        <v>15626.5</v>
      </c>
      <c r="O7" s="13">
        <v>13827.8</v>
      </c>
      <c r="P7" s="14">
        <v>0.50019999999999998</v>
      </c>
      <c r="Q7" s="14">
        <v>7816.5</v>
      </c>
      <c r="R7" s="13">
        <v>69627.3</v>
      </c>
      <c r="S7" s="13">
        <v>65877.5</v>
      </c>
      <c r="T7" s="14">
        <v>0.33929999999999999</v>
      </c>
      <c r="U7" s="15">
        <v>23621.7</v>
      </c>
      <c r="V7" s="12">
        <v>2514</v>
      </c>
      <c r="W7" s="14">
        <v>41.9</v>
      </c>
      <c r="X7" s="13">
        <v>217382</v>
      </c>
      <c r="Y7" s="13">
        <v>291522.40000000002</v>
      </c>
      <c r="Z7" s="14">
        <v>5.8599999999999999E-2</v>
      </c>
      <c r="AA7" s="13">
        <v>33844.800000000003</v>
      </c>
      <c r="AB7" s="13">
        <v>33842.9</v>
      </c>
      <c r="AC7" s="14">
        <v>9.01E-2</v>
      </c>
      <c r="AD7" s="14">
        <v>3048.2</v>
      </c>
      <c r="AE7" s="13">
        <v>67568.7</v>
      </c>
      <c r="AF7" s="13">
        <v>67676</v>
      </c>
      <c r="AG7" s="14">
        <v>5.74E-2</v>
      </c>
      <c r="AH7" s="14">
        <v>3877.4</v>
      </c>
      <c r="AI7" s="13">
        <v>5659.2</v>
      </c>
      <c r="AJ7" s="13">
        <v>5644.2</v>
      </c>
      <c r="AK7" s="14">
        <v>6.3299999999999995E-2</v>
      </c>
      <c r="AL7" s="15">
        <v>358</v>
      </c>
      <c r="AM7" s="12">
        <f t="shared" si="2"/>
        <v>9.9443118536197292E-2</v>
      </c>
      <c r="AN7" s="13">
        <f t="shared" si="0"/>
        <v>9.9522673031026257E-2</v>
      </c>
      <c r="AO7" s="13">
        <f t="shared" si="0"/>
        <v>2.2002741717345501E-3</v>
      </c>
      <c r="AP7" s="13">
        <f t="shared" si="0"/>
        <v>9.9409170616048719E-4</v>
      </c>
      <c r="AQ7" s="13">
        <f t="shared" si="0"/>
        <v>12.764505119453926</v>
      </c>
      <c r="AR7" s="13">
        <f t="shared" si="0"/>
        <v>0.6257416205739138</v>
      </c>
      <c r="AS7" s="13">
        <f t="shared" si="0"/>
        <v>0.56891696633562727</v>
      </c>
      <c r="AT7" s="13">
        <f t="shared" si="0"/>
        <v>4.9644839067702549</v>
      </c>
      <c r="AU7" s="13">
        <f t="shared" si="0"/>
        <v>3.1077357128797325</v>
      </c>
      <c r="AV7" s="13">
        <f t="shared" si="0"/>
        <v>0.23126832394289074</v>
      </c>
      <c r="AW7" s="13">
        <f t="shared" si="0"/>
        <v>0.20432354158047164</v>
      </c>
      <c r="AX7" s="13">
        <f t="shared" si="0"/>
        <v>8.7142857142857135</v>
      </c>
      <c r="AY7" s="13">
        <f t="shared" si="0"/>
        <v>2.0159127250219218</v>
      </c>
      <c r="AZ7" s="13">
        <f t="shared" si="0"/>
        <v>12.303382103477524</v>
      </c>
      <c r="BA7" s="13">
        <f t="shared" si="0"/>
        <v>11.67171609794125</v>
      </c>
      <c r="BB7" s="13">
        <f t="shared" si="0"/>
        <v>5.3601895734597163</v>
      </c>
      <c r="BC7" s="15">
        <f t="shared" si="0"/>
        <v>65.982402234636879</v>
      </c>
    </row>
    <row r="8" spans="1:55" x14ac:dyDescent="0.2">
      <c r="B8" s="1">
        <f>B7+24</f>
        <v>210.5</v>
      </c>
      <c r="C8" s="3">
        <f t="shared" si="1"/>
        <v>46081.479166666672</v>
      </c>
      <c r="D8" s="4">
        <v>5850</v>
      </c>
      <c r="E8" s="12">
        <v>428</v>
      </c>
      <c r="F8" s="14">
        <v>7.13</v>
      </c>
      <c r="G8" s="13">
        <v>457.2</v>
      </c>
      <c r="H8" s="13">
        <v>274.39999999999998</v>
      </c>
      <c r="I8" s="14">
        <v>0.83679999999999999</v>
      </c>
      <c r="J8" s="13">
        <v>18835.900000000001</v>
      </c>
      <c r="K8" s="13">
        <v>17005.2</v>
      </c>
      <c r="L8" s="14">
        <v>0.38279999999999997</v>
      </c>
      <c r="M8" s="14">
        <v>7209.7</v>
      </c>
      <c r="N8" s="13">
        <v>13030.5</v>
      </c>
      <c r="O8" s="13">
        <v>11274.8</v>
      </c>
      <c r="P8" s="14">
        <v>0.54390000000000005</v>
      </c>
      <c r="Q8" s="14">
        <v>7086.8</v>
      </c>
      <c r="R8" s="13">
        <v>64811</v>
      </c>
      <c r="S8" s="13">
        <v>60082.8</v>
      </c>
      <c r="T8" s="14">
        <v>0.3478</v>
      </c>
      <c r="U8" s="15">
        <v>22543.5</v>
      </c>
      <c r="V8" s="12">
        <v>3266</v>
      </c>
      <c r="W8" s="14">
        <v>54.43</v>
      </c>
      <c r="X8" s="13">
        <v>212120.1</v>
      </c>
      <c r="Y8" s="13">
        <v>284243.3</v>
      </c>
      <c r="Z8" s="14">
        <v>6.8000000000000005E-2</v>
      </c>
      <c r="AA8" s="13">
        <v>33217</v>
      </c>
      <c r="AB8" s="13">
        <v>33211</v>
      </c>
      <c r="AC8" s="14">
        <v>0.09</v>
      </c>
      <c r="AD8" s="14">
        <v>2990.6</v>
      </c>
      <c r="AE8" s="13">
        <v>59674.3</v>
      </c>
      <c r="AF8" s="13">
        <v>57799.8</v>
      </c>
      <c r="AG8" s="14">
        <v>9.4600000000000004E-2</v>
      </c>
      <c r="AH8" s="14">
        <v>5647</v>
      </c>
      <c r="AI8" s="13">
        <v>5503.9</v>
      </c>
      <c r="AJ8" s="13">
        <v>5496.7</v>
      </c>
      <c r="AK8" s="14">
        <v>6.6100000000000006E-2</v>
      </c>
      <c r="AL8" s="15">
        <v>363.7</v>
      </c>
      <c r="AM8" s="12">
        <f t="shared" si="2"/>
        <v>0.13104715248009799</v>
      </c>
      <c r="AN8" s="13">
        <f t="shared" si="0"/>
        <v>0.1309939371670035</v>
      </c>
      <c r="AO8" s="13">
        <f t="shared" si="0"/>
        <v>2.1553827289351644E-3</v>
      </c>
      <c r="AP8" s="13">
        <f t="shared" si="0"/>
        <v>9.6537016000025329E-4</v>
      </c>
      <c r="AQ8" s="13">
        <f t="shared" si="0"/>
        <v>12.305882352941175</v>
      </c>
      <c r="AR8" s="13">
        <f t="shared" si="0"/>
        <v>0.56705602552909662</v>
      </c>
      <c r="AS8" s="13">
        <f t="shared" si="0"/>
        <v>0.51203516907048874</v>
      </c>
      <c r="AT8" s="13">
        <f t="shared" si="0"/>
        <v>4.253333333333333</v>
      </c>
      <c r="AU8" s="13">
        <f t="shared" si="0"/>
        <v>2.410787133016786</v>
      </c>
      <c r="AV8" s="13">
        <f t="shared" si="0"/>
        <v>0.218360332672524</v>
      </c>
      <c r="AW8" s="13">
        <f t="shared" si="0"/>
        <v>0.19506641891494431</v>
      </c>
      <c r="AX8" s="13">
        <f t="shared" si="0"/>
        <v>5.749471458773785</v>
      </c>
      <c r="AY8" s="13">
        <f t="shared" si="0"/>
        <v>1.2549672392420754</v>
      </c>
      <c r="AZ8" s="13">
        <f t="shared" si="0"/>
        <v>11.775468304293319</v>
      </c>
      <c r="BA8" s="13">
        <f t="shared" si="0"/>
        <v>10.930703876871579</v>
      </c>
      <c r="BB8" s="13">
        <f t="shared" si="0"/>
        <v>5.2617246596066565</v>
      </c>
      <c r="BC8" s="15">
        <f t="shared" si="0"/>
        <v>61.983777838878197</v>
      </c>
    </row>
    <row r="9" spans="1:55" x14ac:dyDescent="0.2">
      <c r="B9" s="1">
        <f>B8+24</f>
        <v>234.5</v>
      </c>
      <c r="C9" s="3">
        <f t="shared" si="1"/>
        <v>46082.479166666672</v>
      </c>
      <c r="D9" s="4">
        <v>10800</v>
      </c>
      <c r="E9" s="12">
        <v>821</v>
      </c>
      <c r="F9" s="14">
        <v>13.68</v>
      </c>
      <c r="G9" s="13">
        <v>452.1</v>
      </c>
      <c r="H9" s="13">
        <v>250.6</v>
      </c>
      <c r="I9" s="14">
        <v>0.92510000000000003</v>
      </c>
      <c r="J9" s="13">
        <v>18805.099999999999</v>
      </c>
      <c r="K9" s="13">
        <v>17552.400000000001</v>
      </c>
      <c r="L9" s="14">
        <v>0.37419999999999998</v>
      </c>
      <c r="M9" s="14">
        <v>7036.5</v>
      </c>
      <c r="N9" s="13">
        <v>11982</v>
      </c>
      <c r="O9" s="13">
        <v>11053.9</v>
      </c>
      <c r="P9" s="14">
        <v>0.46820000000000001</v>
      </c>
      <c r="Q9" s="14">
        <v>5610.1</v>
      </c>
      <c r="R9" s="13">
        <v>62577</v>
      </c>
      <c r="S9" s="13">
        <v>58882</v>
      </c>
      <c r="T9" s="14">
        <v>0.3296</v>
      </c>
      <c r="U9" s="15">
        <v>20624.900000000001</v>
      </c>
      <c r="V9" s="12">
        <v>3323</v>
      </c>
      <c r="W9" s="14">
        <v>55.38</v>
      </c>
      <c r="X9" s="13">
        <v>212188.7</v>
      </c>
      <c r="Y9" s="13">
        <v>285171</v>
      </c>
      <c r="Z9" s="14">
        <v>5.9299999999999999E-2</v>
      </c>
      <c r="AA9" s="13">
        <v>33316.300000000003</v>
      </c>
      <c r="AB9" s="13">
        <v>33432.9</v>
      </c>
      <c r="AC9" s="14">
        <v>6.6500000000000004E-2</v>
      </c>
      <c r="AD9" s="14">
        <v>2214</v>
      </c>
      <c r="AE9" s="13">
        <v>57653.7</v>
      </c>
      <c r="AF9" s="13">
        <v>55598.2</v>
      </c>
      <c r="AG9" s="14">
        <v>0.1062</v>
      </c>
      <c r="AH9" s="14">
        <v>6120</v>
      </c>
      <c r="AI9" s="13">
        <v>5506.1</v>
      </c>
      <c r="AJ9" s="13">
        <v>5503.3</v>
      </c>
      <c r="AK9" s="14">
        <v>6.2600000000000003E-2</v>
      </c>
      <c r="AL9" s="15">
        <v>344.9</v>
      </c>
      <c r="AM9" s="12">
        <f t="shared" si="2"/>
        <v>0.24706590430334036</v>
      </c>
      <c r="AN9" s="13">
        <f t="shared" si="0"/>
        <v>0.24702058504875404</v>
      </c>
      <c r="AO9" s="13">
        <f t="shared" si="0"/>
        <v>2.1306506896927122E-3</v>
      </c>
      <c r="AP9" s="13">
        <f t="shared" si="0"/>
        <v>8.7877098302422058E-4</v>
      </c>
      <c r="AQ9" s="13">
        <f t="shared" si="0"/>
        <v>15.600337268128163</v>
      </c>
      <c r="AR9" s="13">
        <f t="shared" si="0"/>
        <v>0.56444142957051047</v>
      </c>
      <c r="AS9" s="13">
        <f t="shared" si="0"/>
        <v>0.5250038136087507</v>
      </c>
      <c r="AT9" s="13">
        <f t="shared" si="0"/>
        <v>5.6270676691729316</v>
      </c>
      <c r="AU9" s="13">
        <f t="shared" si="0"/>
        <v>3.1781842818428183</v>
      </c>
      <c r="AV9" s="13">
        <f t="shared" si="0"/>
        <v>0.20782707788051766</v>
      </c>
      <c r="AW9" s="13">
        <f t="shared" si="0"/>
        <v>0.19881758761974308</v>
      </c>
      <c r="AX9" s="13">
        <f t="shared" si="0"/>
        <v>4.4086629001883235</v>
      </c>
      <c r="AY9" s="13">
        <f t="shared" si="0"/>
        <v>0.91668300653594781</v>
      </c>
      <c r="AZ9" s="13">
        <f t="shared" si="0"/>
        <v>11.365031510506528</v>
      </c>
      <c r="BA9" s="13">
        <f t="shared" si="0"/>
        <v>10.699398542692565</v>
      </c>
      <c r="BB9" s="13">
        <f t="shared" si="0"/>
        <v>5.2651757188498403</v>
      </c>
      <c r="BC9" s="15">
        <f t="shared" si="0"/>
        <v>59.799652073064664</v>
      </c>
    </row>
    <row r="10" spans="1:55" x14ac:dyDescent="0.2">
      <c r="B10" s="1">
        <f>B9+24</f>
        <v>258.5</v>
      </c>
      <c r="C10" s="3">
        <f t="shared" si="1"/>
        <v>46083.479166666672</v>
      </c>
      <c r="D10" s="4">
        <v>20300</v>
      </c>
      <c r="E10" s="12">
        <v>1503</v>
      </c>
      <c r="F10" s="14">
        <v>25.05</v>
      </c>
      <c r="G10" s="13">
        <v>568.1</v>
      </c>
      <c r="H10" s="13">
        <v>406.6</v>
      </c>
      <c r="I10" s="14">
        <v>18.918099999999999</v>
      </c>
      <c r="J10" s="13">
        <v>19570.7</v>
      </c>
      <c r="K10" s="13">
        <v>18613.2</v>
      </c>
      <c r="L10" s="14">
        <v>0.36449999999999999</v>
      </c>
      <c r="M10" s="14">
        <v>7133.3</v>
      </c>
      <c r="N10" s="13">
        <v>12472.4</v>
      </c>
      <c r="O10" s="13">
        <v>11272.6</v>
      </c>
      <c r="P10" s="14">
        <v>0.51119999999999999</v>
      </c>
      <c r="Q10" s="14">
        <v>6375.4</v>
      </c>
      <c r="R10" s="13">
        <v>65201.2</v>
      </c>
      <c r="S10" s="13">
        <v>61668.4</v>
      </c>
      <c r="T10" s="14">
        <v>0.31869999999999998</v>
      </c>
      <c r="U10" s="15">
        <v>20781.3</v>
      </c>
      <c r="V10" s="12">
        <v>6721</v>
      </c>
      <c r="W10" s="14">
        <v>112.02</v>
      </c>
      <c r="X10" s="13">
        <v>214581.7</v>
      </c>
      <c r="Y10" s="13">
        <v>288209.40000000002</v>
      </c>
      <c r="Z10" s="14">
        <v>5.4699999999999999E-2</v>
      </c>
      <c r="AA10" s="13">
        <v>33708.199999999997</v>
      </c>
      <c r="AB10" s="13">
        <v>33728.699999999997</v>
      </c>
      <c r="AC10" s="14">
        <v>7.5300000000000006E-2</v>
      </c>
      <c r="AD10" s="14">
        <v>2539</v>
      </c>
      <c r="AE10" s="13">
        <v>58775.6</v>
      </c>
      <c r="AF10" s="13">
        <v>56492.6</v>
      </c>
      <c r="AG10" s="14">
        <v>0.1022</v>
      </c>
      <c r="AH10" s="14">
        <v>6007.2</v>
      </c>
      <c r="AI10" s="13">
        <v>5472.5</v>
      </c>
      <c r="AJ10" s="13">
        <v>5455.1</v>
      </c>
      <c r="AK10" s="14">
        <v>6.4100000000000004E-2</v>
      </c>
      <c r="AL10" s="15">
        <v>350.6</v>
      </c>
      <c r="AM10" s="12">
        <f t="shared" si="2"/>
        <v>0.22362743639339383</v>
      </c>
      <c r="AN10" s="13">
        <f t="shared" si="0"/>
        <v>0.22362078200321373</v>
      </c>
      <c r="AO10" s="13">
        <f t="shared" si="0"/>
        <v>2.6474764623451116E-3</v>
      </c>
      <c r="AP10" s="13">
        <f t="shared" si="0"/>
        <v>1.4107798010751904E-3</v>
      </c>
      <c r="AQ10" s="13">
        <f t="shared" si="0"/>
        <v>345.85191956124311</v>
      </c>
      <c r="AR10" s="13">
        <f t="shared" si="0"/>
        <v>0.58059166612278323</v>
      </c>
      <c r="AS10" s="13">
        <f t="shared" si="0"/>
        <v>0.55185050120520518</v>
      </c>
      <c r="AT10" s="13">
        <f t="shared" si="0"/>
        <v>4.8406374501992024</v>
      </c>
      <c r="AU10" s="13">
        <f t="shared" si="0"/>
        <v>2.8094919259551006</v>
      </c>
      <c r="AV10" s="13">
        <f t="shared" si="0"/>
        <v>0.2122037035776751</v>
      </c>
      <c r="AW10" s="13">
        <f t="shared" si="0"/>
        <v>0.19954117884466285</v>
      </c>
      <c r="AX10" s="13">
        <f t="shared" si="0"/>
        <v>5.0019569471624266</v>
      </c>
      <c r="AY10" s="13">
        <f t="shared" si="0"/>
        <v>1.0612931149287521</v>
      </c>
      <c r="AZ10" s="13">
        <f t="shared" si="0"/>
        <v>11.914335312928277</v>
      </c>
      <c r="BA10" s="13">
        <f t="shared" si="0"/>
        <v>11.304724019724661</v>
      </c>
      <c r="BB10" s="13">
        <f t="shared" si="0"/>
        <v>4.9719188767550699</v>
      </c>
      <c r="BC10" s="15">
        <f t="shared" si="0"/>
        <v>59.273531089560748</v>
      </c>
    </row>
    <row r="11" spans="1:55" x14ac:dyDescent="0.2">
      <c r="B11" s="1">
        <f>B10+24*2</f>
        <v>306.5</v>
      </c>
      <c r="C11" s="3">
        <f t="shared" si="1"/>
        <v>46085.479166666672</v>
      </c>
      <c r="D11" s="4">
        <v>131000</v>
      </c>
      <c r="E11" s="12">
        <v>8918</v>
      </c>
      <c r="F11" s="14">
        <v>148.63</v>
      </c>
      <c r="G11" s="13">
        <v>451.3</v>
      </c>
      <c r="H11" s="13">
        <v>245.3</v>
      </c>
      <c r="I11" s="14">
        <v>13.7441</v>
      </c>
      <c r="J11" s="13">
        <v>19141.900000000001</v>
      </c>
      <c r="K11" s="13">
        <v>17838.5</v>
      </c>
      <c r="L11" s="14">
        <v>0.36349999999999999</v>
      </c>
      <c r="M11" s="14">
        <v>6957.3</v>
      </c>
      <c r="N11" s="13">
        <v>11642.5</v>
      </c>
      <c r="O11" s="13">
        <v>10508.3</v>
      </c>
      <c r="P11" s="14">
        <v>0.48570000000000002</v>
      </c>
      <c r="Q11" s="14">
        <v>5654.6</v>
      </c>
      <c r="R11" s="13">
        <v>63992.3</v>
      </c>
      <c r="S11" s="13">
        <v>60177.1</v>
      </c>
      <c r="T11" s="14">
        <v>0.32529999999999998</v>
      </c>
      <c r="U11" s="15">
        <v>20814.099999999999</v>
      </c>
      <c r="V11" s="12">
        <v>1344</v>
      </c>
      <c r="W11" s="14">
        <v>22.4</v>
      </c>
      <c r="X11" s="13">
        <v>212364.6</v>
      </c>
      <c r="Y11" s="13">
        <v>283936.3</v>
      </c>
      <c r="Z11" s="14">
        <v>6.4399999999999999E-2</v>
      </c>
      <c r="AA11" s="13">
        <v>33249.599999999999</v>
      </c>
      <c r="AB11" s="13">
        <v>33359.800000000003</v>
      </c>
      <c r="AC11" s="14">
        <v>6.8500000000000005E-2</v>
      </c>
      <c r="AD11" s="14">
        <v>2276.4</v>
      </c>
      <c r="AE11" s="13">
        <v>56717.9</v>
      </c>
      <c r="AF11" s="13">
        <v>55000</v>
      </c>
      <c r="AG11" s="14">
        <v>0.1152</v>
      </c>
      <c r="AH11" s="14">
        <v>6532.5</v>
      </c>
      <c r="AI11" s="13">
        <v>5429.3</v>
      </c>
      <c r="AJ11" s="13">
        <v>5427</v>
      </c>
      <c r="AK11" s="14">
        <v>6.2700000000000006E-2</v>
      </c>
      <c r="AL11" s="15">
        <v>340.2</v>
      </c>
      <c r="AM11" s="12">
        <f t="shared" si="2"/>
        <v>6.635416666666667</v>
      </c>
      <c r="AN11" s="13">
        <f t="shared" si="0"/>
        <v>6.6352678571428569</v>
      </c>
      <c r="AO11" s="13">
        <f t="shared" si="0"/>
        <v>2.1251187815671726E-3</v>
      </c>
      <c r="AP11" s="13">
        <f t="shared" si="0"/>
        <v>8.639261693555915E-4</v>
      </c>
      <c r="AQ11" s="13">
        <f t="shared" si="0"/>
        <v>213.41770186335404</v>
      </c>
      <c r="AR11" s="13">
        <f t="shared" si="0"/>
        <v>0.57570316635388097</v>
      </c>
      <c r="AS11" s="13">
        <f t="shared" si="0"/>
        <v>0.53473042404330962</v>
      </c>
      <c r="AT11" s="13">
        <f t="shared" si="0"/>
        <v>5.3065693430656928</v>
      </c>
      <c r="AU11" s="13">
        <f t="shared" si="0"/>
        <v>3.0562730627306274</v>
      </c>
      <c r="AV11" s="13">
        <f t="shared" si="0"/>
        <v>0.20527029385784734</v>
      </c>
      <c r="AW11" s="13">
        <f t="shared" si="0"/>
        <v>0.19105999999999998</v>
      </c>
      <c r="AX11" s="13">
        <f t="shared" si="0"/>
        <v>4.2161458333333339</v>
      </c>
      <c r="AY11" s="13">
        <f t="shared" si="0"/>
        <v>0.86561040949100654</v>
      </c>
      <c r="AZ11" s="13">
        <f t="shared" si="0"/>
        <v>11.786473394360231</v>
      </c>
      <c r="BA11" s="13">
        <f t="shared" si="0"/>
        <v>11.08846508199742</v>
      </c>
      <c r="BB11" s="13">
        <f t="shared" si="0"/>
        <v>5.1881977671451347</v>
      </c>
      <c r="BC11" s="15">
        <f t="shared" si="0"/>
        <v>61.1819517930629</v>
      </c>
    </row>
    <row r="12" spans="1:55" x14ac:dyDescent="0.2">
      <c r="B12" s="1">
        <f>B11+24</f>
        <v>330.5</v>
      </c>
      <c r="C12" s="3">
        <f t="shared" si="1"/>
        <v>46086.479166666672</v>
      </c>
      <c r="D12" s="4">
        <v>224000</v>
      </c>
      <c r="E12" s="12">
        <v>15886</v>
      </c>
      <c r="F12" s="14">
        <v>264.77</v>
      </c>
      <c r="G12" s="13">
        <v>485.9</v>
      </c>
      <c r="H12" s="13">
        <v>294.8</v>
      </c>
      <c r="I12" s="14">
        <v>15.375400000000001</v>
      </c>
      <c r="J12" s="13">
        <v>19717.8</v>
      </c>
      <c r="K12" s="13">
        <v>18289.8</v>
      </c>
      <c r="L12" s="14">
        <v>0.37690000000000001</v>
      </c>
      <c r="M12" s="14">
        <v>7431</v>
      </c>
      <c r="N12" s="13">
        <v>13454.6</v>
      </c>
      <c r="O12" s="13">
        <v>11977.7</v>
      </c>
      <c r="P12" s="14">
        <v>0.503</v>
      </c>
      <c r="Q12" s="14">
        <v>6767.9</v>
      </c>
      <c r="R12" s="13">
        <v>68877.8</v>
      </c>
      <c r="S12" s="13">
        <v>64800.2</v>
      </c>
      <c r="T12" s="14">
        <v>0.33829999999999999</v>
      </c>
      <c r="U12" s="15">
        <v>23304.7</v>
      </c>
      <c r="V12" s="12">
        <v>3618</v>
      </c>
      <c r="W12" s="14">
        <v>60.3</v>
      </c>
      <c r="X12" s="13">
        <v>216252.79999999999</v>
      </c>
      <c r="Y12" s="13">
        <v>289668.90000000002</v>
      </c>
      <c r="Z12" s="14">
        <v>5.5199999999999999E-2</v>
      </c>
      <c r="AA12" s="13">
        <v>33683.199999999997</v>
      </c>
      <c r="AB12" s="13">
        <v>33673.5</v>
      </c>
      <c r="AC12" s="14">
        <v>6.1100000000000002E-2</v>
      </c>
      <c r="AD12" s="14">
        <v>2057.3000000000002</v>
      </c>
      <c r="AE12" s="13">
        <v>62716.2</v>
      </c>
      <c r="AF12" s="13">
        <v>61246.6</v>
      </c>
      <c r="AG12" s="14">
        <v>8.5000000000000006E-2</v>
      </c>
      <c r="AH12" s="14">
        <v>5332.7</v>
      </c>
      <c r="AI12" s="13">
        <v>5555.6</v>
      </c>
      <c r="AJ12" s="13">
        <v>5530.3</v>
      </c>
      <c r="AK12" s="14">
        <v>5.6300000000000003E-2</v>
      </c>
      <c r="AL12" s="15">
        <v>312.60000000000002</v>
      </c>
      <c r="AM12" s="12">
        <f t="shared" si="2"/>
        <v>4.3908236594803762</v>
      </c>
      <c r="AN12" s="13">
        <f t="shared" si="0"/>
        <v>4.3908789386401326</v>
      </c>
      <c r="AO12" s="13">
        <f t="shared" si="0"/>
        <v>2.246907323280901E-3</v>
      </c>
      <c r="AP12" s="13">
        <f t="shared" si="0"/>
        <v>1.0177136724032162E-3</v>
      </c>
      <c r="AQ12" s="13">
        <f t="shared" si="0"/>
        <v>278.53985507246381</v>
      </c>
      <c r="AR12" s="13">
        <f t="shared" si="0"/>
        <v>0.58538974919247577</v>
      </c>
      <c r="AS12" s="13">
        <f t="shared" si="0"/>
        <v>0.54315114258987041</v>
      </c>
      <c r="AT12" s="13">
        <f t="shared" si="0"/>
        <v>6.1685761047463172</v>
      </c>
      <c r="AU12" s="13">
        <f t="shared" si="0"/>
        <v>3.6120157487969666</v>
      </c>
      <c r="AV12" s="13">
        <f t="shared" si="0"/>
        <v>0.21453149266058852</v>
      </c>
      <c r="AW12" s="13">
        <f t="shared" si="0"/>
        <v>0.19556514157520583</v>
      </c>
      <c r="AX12" s="13">
        <f t="shared" si="0"/>
        <v>5.9176470588235288</v>
      </c>
      <c r="AY12" s="13">
        <f t="shared" si="0"/>
        <v>1.2691319594201811</v>
      </c>
      <c r="AZ12" s="13">
        <f t="shared" si="0"/>
        <v>12.397904816761466</v>
      </c>
      <c r="BA12" s="13">
        <f t="shared" si="0"/>
        <v>11.717302858796087</v>
      </c>
      <c r="BB12" s="13">
        <f t="shared" si="0"/>
        <v>6.0088809946714026</v>
      </c>
      <c r="BC12" s="15">
        <f t="shared" si="0"/>
        <v>74.551183621241194</v>
      </c>
    </row>
    <row r="13" spans="1:55" x14ac:dyDescent="0.2">
      <c r="B13" s="1">
        <f t="shared" ref="B13:B15" si="3">B12+24</f>
        <v>354.5</v>
      </c>
      <c r="C13" s="3">
        <f t="shared" si="1"/>
        <v>46087.479166666672</v>
      </c>
      <c r="D13" s="4">
        <v>375000</v>
      </c>
      <c r="E13" s="12">
        <v>24156</v>
      </c>
      <c r="F13" s="14">
        <v>402.61</v>
      </c>
      <c r="G13" s="13">
        <v>512.6</v>
      </c>
      <c r="H13" s="13">
        <v>331.3</v>
      </c>
      <c r="I13" s="14">
        <v>16.981400000000001</v>
      </c>
      <c r="J13" s="13">
        <v>19694.5</v>
      </c>
      <c r="K13" s="13">
        <v>18430</v>
      </c>
      <c r="L13" s="14">
        <v>0.3669</v>
      </c>
      <c r="M13" s="14">
        <v>7225.9</v>
      </c>
      <c r="N13" s="13">
        <v>12718.9</v>
      </c>
      <c r="O13" s="13">
        <v>11336.4</v>
      </c>
      <c r="P13" s="14">
        <v>0.50870000000000004</v>
      </c>
      <c r="Q13" s="14">
        <v>6470</v>
      </c>
      <c r="R13" s="13">
        <v>67656.800000000003</v>
      </c>
      <c r="S13" s="13">
        <v>63937.8</v>
      </c>
      <c r="T13" s="14">
        <v>0.33729999999999999</v>
      </c>
      <c r="U13" s="15">
        <v>22823.200000000001</v>
      </c>
      <c r="V13" s="12">
        <v>3436</v>
      </c>
      <c r="W13" s="14">
        <v>57.27</v>
      </c>
      <c r="X13" s="13">
        <v>212633.2</v>
      </c>
      <c r="Y13" s="13">
        <v>285469.7</v>
      </c>
      <c r="Z13" s="14">
        <v>6.7299999999999999E-2</v>
      </c>
      <c r="AA13" s="13">
        <v>33409.1</v>
      </c>
      <c r="AB13" s="13">
        <v>33423.800000000003</v>
      </c>
      <c r="AC13" s="14">
        <v>7.2499999999999995E-2</v>
      </c>
      <c r="AD13" s="14">
        <v>2421.1</v>
      </c>
      <c r="AE13" s="13">
        <v>58734.2</v>
      </c>
      <c r="AF13" s="13">
        <v>56765.1</v>
      </c>
      <c r="AG13" s="14">
        <v>0.10290000000000001</v>
      </c>
      <c r="AH13" s="14">
        <v>6042.4</v>
      </c>
      <c r="AI13" s="13">
        <v>5441.6</v>
      </c>
      <c r="AJ13" s="13">
        <v>5437.2</v>
      </c>
      <c r="AK13" s="14">
        <v>6.5299999999999997E-2</v>
      </c>
      <c r="AL13" s="15">
        <v>355.3</v>
      </c>
      <c r="AM13" s="12">
        <f t="shared" si="2"/>
        <v>7.0302677532013966</v>
      </c>
      <c r="AN13" s="13">
        <f t="shared" si="0"/>
        <v>7.0300331761829931</v>
      </c>
      <c r="AO13" s="13">
        <f t="shared" si="0"/>
        <v>2.4107241954690046E-3</v>
      </c>
      <c r="AP13" s="13">
        <f t="shared" si="0"/>
        <v>1.1605434832488353E-3</v>
      </c>
      <c r="AQ13" s="13">
        <f t="shared" si="0"/>
        <v>252.32392273402675</v>
      </c>
      <c r="AR13" s="13">
        <f t="shared" si="0"/>
        <v>0.58949507768841425</v>
      </c>
      <c r="AS13" s="13">
        <f t="shared" si="0"/>
        <v>0.55140349092562779</v>
      </c>
      <c r="AT13" s="13">
        <f t="shared" si="0"/>
        <v>5.0606896551724141</v>
      </c>
      <c r="AU13" s="13">
        <f t="shared" si="0"/>
        <v>2.984552476147206</v>
      </c>
      <c r="AV13" s="13">
        <f t="shared" si="0"/>
        <v>0.21655015306244063</v>
      </c>
      <c r="AW13" s="13">
        <f t="shared" si="0"/>
        <v>0.19970721446804462</v>
      </c>
      <c r="AX13" s="13">
        <f t="shared" si="0"/>
        <v>4.9436345966958211</v>
      </c>
      <c r="AY13" s="13">
        <f t="shared" si="0"/>
        <v>1.0707665828147757</v>
      </c>
      <c r="AZ13" s="13">
        <f t="shared" si="0"/>
        <v>12.433254925022052</v>
      </c>
      <c r="BA13" s="13">
        <f t="shared" si="0"/>
        <v>11.759324652394616</v>
      </c>
      <c r="BB13" s="13">
        <f t="shared" si="0"/>
        <v>5.1653905053598779</v>
      </c>
      <c r="BC13" s="15">
        <f t="shared" si="0"/>
        <v>64.236419926822407</v>
      </c>
    </row>
    <row r="14" spans="1:55" x14ac:dyDescent="0.2">
      <c r="B14" s="1">
        <f t="shared" si="3"/>
        <v>378.5</v>
      </c>
      <c r="C14" s="3">
        <f t="shared" si="1"/>
        <v>46088.479166666672</v>
      </c>
      <c r="D14" s="4">
        <v>669000</v>
      </c>
      <c r="E14" s="12">
        <v>40379</v>
      </c>
      <c r="F14" s="14">
        <v>672.99</v>
      </c>
      <c r="G14" s="13">
        <v>462.2</v>
      </c>
      <c r="H14" s="13">
        <v>265.7</v>
      </c>
      <c r="I14" s="14">
        <v>1.5688</v>
      </c>
      <c r="J14" s="13">
        <v>20170.2</v>
      </c>
      <c r="K14" s="13">
        <v>19170.900000000001</v>
      </c>
      <c r="L14" s="14">
        <v>0.35220000000000001</v>
      </c>
      <c r="M14" s="14">
        <v>7104.5</v>
      </c>
      <c r="N14" s="13">
        <v>14102.4</v>
      </c>
      <c r="O14" s="13">
        <v>12647.3</v>
      </c>
      <c r="P14" s="14">
        <v>0.49530000000000002</v>
      </c>
      <c r="Q14" s="14">
        <v>6985.2</v>
      </c>
      <c r="R14" s="13">
        <v>69359.7</v>
      </c>
      <c r="S14" s="13">
        <v>66288.3</v>
      </c>
      <c r="T14" s="14">
        <v>0.33179999999999998</v>
      </c>
      <c r="U14" s="15">
        <v>23010.3</v>
      </c>
      <c r="V14" s="12">
        <v>279</v>
      </c>
      <c r="W14" s="14">
        <v>4.6500000000000004</v>
      </c>
      <c r="X14" s="13">
        <v>214973.7</v>
      </c>
      <c r="Y14" s="13">
        <v>288633.40000000002</v>
      </c>
      <c r="Z14" s="14">
        <v>5.5599999999999997E-2</v>
      </c>
      <c r="AA14" s="13">
        <v>33419</v>
      </c>
      <c r="AB14" s="13">
        <v>33534.1</v>
      </c>
      <c r="AC14" s="14">
        <v>7.6899999999999996E-2</v>
      </c>
      <c r="AD14" s="14">
        <v>2569.6</v>
      </c>
      <c r="AE14" s="13">
        <v>63532.2</v>
      </c>
      <c r="AF14" s="13">
        <v>62210.400000000001</v>
      </c>
      <c r="AG14" s="14">
        <v>7.1300000000000002E-2</v>
      </c>
      <c r="AH14" s="14">
        <v>4530.2</v>
      </c>
      <c r="AI14" s="13">
        <v>5573.8</v>
      </c>
      <c r="AJ14" s="13">
        <v>5551.1</v>
      </c>
      <c r="AK14" s="14">
        <v>5.8599999999999999E-2</v>
      </c>
      <c r="AL14" s="15">
        <v>326.39999999999998</v>
      </c>
      <c r="AM14" s="12">
        <f t="shared" si="2"/>
        <v>144.72759856630825</v>
      </c>
      <c r="AN14" s="13">
        <f t="shared" si="0"/>
        <v>144.72903225806451</v>
      </c>
      <c r="AO14" s="13">
        <f t="shared" si="0"/>
        <v>2.1500304455847386E-3</v>
      </c>
      <c r="AP14" s="13">
        <f t="shared" si="0"/>
        <v>9.2054488496480296E-4</v>
      </c>
      <c r="AQ14" s="13">
        <f t="shared" si="0"/>
        <v>28.215827338129497</v>
      </c>
      <c r="AR14" s="13">
        <f t="shared" si="0"/>
        <v>0.6035548639995213</v>
      </c>
      <c r="AS14" s="13">
        <f t="shared" si="0"/>
        <v>0.57168374878109152</v>
      </c>
      <c r="AT14" s="13">
        <f t="shared" si="0"/>
        <v>4.5799739921976599</v>
      </c>
      <c r="AU14" s="13">
        <f t="shared" si="0"/>
        <v>2.7648272104607723</v>
      </c>
      <c r="AV14" s="13">
        <f t="shared" si="0"/>
        <v>0.22197248009670686</v>
      </c>
      <c r="AW14" s="13">
        <f t="shared" si="0"/>
        <v>0.203298805344444</v>
      </c>
      <c r="AX14" s="13">
        <f t="shared" si="0"/>
        <v>6.9467040673211784</v>
      </c>
      <c r="AY14" s="13">
        <f t="shared" si="0"/>
        <v>1.5419186790870161</v>
      </c>
      <c r="AZ14" s="13">
        <f t="shared" si="0"/>
        <v>12.443880297104309</v>
      </c>
      <c r="BA14" s="13">
        <f t="shared" ref="BA14:BA19" si="4">S14/AJ14</f>
        <v>11.941471059789951</v>
      </c>
      <c r="BB14" s="13">
        <f t="shared" ref="BB14:BB19" si="5">T14/AK14</f>
        <v>5.662116040955631</v>
      </c>
      <c r="BC14" s="15">
        <f t="shared" ref="BC14:BC19" si="6">U14/AL14</f>
        <v>70.497242647058826</v>
      </c>
    </row>
    <row r="15" spans="1:55" x14ac:dyDescent="0.2">
      <c r="B15" s="1">
        <f t="shared" si="3"/>
        <v>402.5</v>
      </c>
      <c r="C15" s="3">
        <f t="shared" si="1"/>
        <v>46089.479166666672</v>
      </c>
      <c r="D15" s="4">
        <v>865000</v>
      </c>
      <c r="E15" s="12">
        <v>16721</v>
      </c>
      <c r="F15" s="14">
        <v>278.68</v>
      </c>
      <c r="G15" s="13">
        <v>606.1</v>
      </c>
      <c r="H15" s="13">
        <v>507.3</v>
      </c>
      <c r="I15" s="14">
        <v>1.5329999999999999</v>
      </c>
      <c r="J15" s="13">
        <v>19982.099999999999</v>
      </c>
      <c r="K15" s="13">
        <v>19098.900000000001</v>
      </c>
      <c r="L15" s="14">
        <v>0.33489999999999998</v>
      </c>
      <c r="M15" s="14">
        <v>6691.6</v>
      </c>
      <c r="N15" s="13">
        <v>15269.5</v>
      </c>
      <c r="O15" s="13">
        <v>13684.6</v>
      </c>
      <c r="P15" s="14">
        <v>0.4884</v>
      </c>
      <c r="Q15" s="14">
        <v>7457.7</v>
      </c>
      <c r="R15" s="13">
        <v>69310.2</v>
      </c>
      <c r="S15" s="13">
        <v>66457.8</v>
      </c>
      <c r="T15" s="14">
        <v>0.32240000000000002</v>
      </c>
      <c r="U15" s="15">
        <v>22345.599999999999</v>
      </c>
      <c r="V15" s="12">
        <v>955</v>
      </c>
      <c r="W15" s="14">
        <v>15.92</v>
      </c>
      <c r="X15" s="13">
        <v>215643.7</v>
      </c>
      <c r="Y15" s="13">
        <v>292163.09999999998</v>
      </c>
      <c r="Z15" s="14">
        <v>6.9199999999999998E-2</v>
      </c>
      <c r="AA15" s="13">
        <v>33705.300000000003</v>
      </c>
      <c r="AB15" s="13">
        <v>33870.9</v>
      </c>
      <c r="AC15" s="14">
        <v>8.7900000000000006E-2</v>
      </c>
      <c r="AD15" s="14">
        <v>2962.2</v>
      </c>
      <c r="AE15" s="13">
        <v>68621.8</v>
      </c>
      <c r="AF15" s="13">
        <v>68911.199999999997</v>
      </c>
      <c r="AG15" s="14">
        <v>5.6399999999999999E-2</v>
      </c>
      <c r="AH15" s="14">
        <v>3868.6</v>
      </c>
      <c r="AI15" s="13">
        <v>5861.5</v>
      </c>
      <c r="AJ15" s="13">
        <v>5839.8</v>
      </c>
      <c r="AK15" s="14">
        <v>6.0600000000000001E-2</v>
      </c>
      <c r="AL15" s="15">
        <v>355.3</v>
      </c>
      <c r="AM15" s="12">
        <f t="shared" si="2"/>
        <v>17.508900523560211</v>
      </c>
      <c r="AN15" s="13">
        <f t="shared" ref="AN15:AN19" si="7">F15/W15</f>
        <v>17.505025125628141</v>
      </c>
      <c r="AO15" s="13">
        <f t="shared" ref="AO15:AO19" si="8">G15/X15</f>
        <v>2.8106547977056599E-3</v>
      </c>
      <c r="AP15" s="13">
        <f t="shared" ref="AP15:AP19" si="9">H15/Y15</f>
        <v>1.7363589036397823E-3</v>
      </c>
      <c r="AQ15" s="13">
        <f t="shared" ref="AQ15:AQ19" si="10">I15/Z15</f>
        <v>22.153179190751445</v>
      </c>
      <c r="AR15" s="13">
        <f t="shared" ref="AR15:AR19" si="11">J15/AA15</f>
        <v>0.59284741568833377</v>
      </c>
      <c r="AS15" s="13">
        <f t="shared" ref="AS15:AS19" si="12">K15/AB15</f>
        <v>0.56387341346111264</v>
      </c>
      <c r="AT15" s="13">
        <f t="shared" ref="AT15:AT19" si="13">L15/AC15</f>
        <v>3.8100113765642769</v>
      </c>
      <c r="AU15" s="13">
        <f t="shared" ref="AU15:AU19" si="14">M15/AD15</f>
        <v>2.2589966916480995</v>
      </c>
      <c r="AV15" s="13">
        <f t="shared" ref="AV15:AV19" si="15">N15/AE15</f>
        <v>0.22251675123648751</v>
      </c>
      <c r="AW15" s="13">
        <f t="shared" ref="AW15:AW19" si="16">O15/AF15</f>
        <v>0.19858310405275195</v>
      </c>
      <c r="AX15" s="13">
        <f t="shared" ref="AX15:AX19" si="17">P15/AG15</f>
        <v>8.6595744680851059</v>
      </c>
      <c r="AY15" s="13">
        <f t="shared" ref="AY15:AY19" si="18">Q15/AH15</f>
        <v>1.927751641420669</v>
      </c>
      <c r="AZ15" s="13">
        <f t="shared" ref="AZ15:AZ19" si="19">R15/AI15</f>
        <v>11.824652392732235</v>
      </c>
      <c r="BA15" s="13">
        <f t="shared" si="4"/>
        <v>11.380150005137162</v>
      </c>
      <c r="BB15" s="13">
        <f t="shared" si="5"/>
        <v>5.3201320132013201</v>
      </c>
      <c r="BC15" s="15">
        <f t="shared" si="6"/>
        <v>62.892203771460728</v>
      </c>
    </row>
    <row r="16" spans="1:55" x14ac:dyDescent="0.2">
      <c r="B16" s="1">
        <f>B17-24</f>
        <v>498.5</v>
      </c>
      <c r="C16" s="3">
        <f t="shared" si="1"/>
        <v>46093.479166666672</v>
      </c>
      <c r="D16" s="4">
        <v>8370000</v>
      </c>
      <c r="E16" s="12">
        <v>23487</v>
      </c>
      <c r="F16" s="14">
        <v>391.46</v>
      </c>
      <c r="G16" s="13">
        <v>476.3</v>
      </c>
      <c r="H16" s="13">
        <v>273.5</v>
      </c>
      <c r="I16" s="14">
        <v>15.618499999999999</v>
      </c>
      <c r="J16" s="13">
        <v>19410.400000000001</v>
      </c>
      <c r="K16" s="13">
        <v>18857.3</v>
      </c>
      <c r="L16" s="14">
        <v>0.31759999999999999</v>
      </c>
      <c r="M16" s="14">
        <v>6164.8</v>
      </c>
      <c r="N16" s="13">
        <v>15004.1</v>
      </c>
      <c r="O16" s="13">
        <v>13455.8</v>
      </c>
      <c r="P16" s="14">
        <v>0.48480000000000001</v>
      </c>
      <c r="Q16" s="14">
        <v>7273.9</v>
      </c>
      <c r="R16" s="13">
        <v>71577.399999999994</v>
      </c>
      <c r="S16" s="13">
        <v>70006.7</v>
      </c>
      <c r="T16" s="14">
        <v>0.3</v>
      </c>
      <c r="U16" s="15">
        <v>21472.799999999999</v>
      </c>
      <c r="V16" s="12">
        <v>1088</v>
      </c>
      <c r="W16" s="14">
        <v>18.13</v>
      </c>
      <c r="X16" s="13">
        <v>214827</v>
      </c>
      <c r="Y16" s="13">
        <v>285772.2</v>
      </c>
      <c r="Z16" s="14">
        <v>5.0999999999999997E-2</v>
      </c>
      <c r="AA16" s="13">
        <v>33290.400000000001</v>
      </c>
      <c r="AB16" s="13">
        <v>33247</v>
      </c>
      <c r="AC16" s="14">
        <v>5.8700000000000002E-2</v>
      </c>
      <c r="AD16" s="14">
        <v>1955.1</v>
      </c>
      <c r="AE16" s="13">
        <v>65839.7</v>
      </c>
      <c r="AF16" s="13">
        <v>65356.3</v>
      </c>
      <c r="AG16" s="14">
        <v>6.2199999999999998E-2</v>
      </c>
      <c r="AH16" s="14">
        <v>4092.5</v>
      </c>
      <c r="AI16" s="13">
        <v>5493.9</v>
      </c>
      <c r="AJ16" s="13">
        <v>5458.6</v>
      </c>
      <c r="AK16" s="14">
        <v>6.1100000000000002E-2</v>
      </c>
      <c r="AL16" s="15">
        <v>335.9</v>
      </c>
      <c r="AM16" s="12">
        <f t="shared" si="2"/>
        <v>21.587316176470587</v>
      </c>
      <c r="AN16" s="13">
        <f t="shared" si="7"/>
        <v>21.591836734693878</v>
      </c>
      <c r="AO16" s="13">
        <f t="shared" si="8"/>
        <v>2.2171328557397348E-3</v>
      </c>
      <c r="AP16" s="13">
        <f t="shared" si="9"/>
        <v>9.5705600474783761E-4</v>
      </c>
      <c r="AQ16" s="13">
        <f t="shared" si="10"/>
        <v>306.24509803921569</v>
      </c>
      <c r="AR16" s="13">
        <f t="shared" si="11"/>
        <v>0.58306298512484078</v>
      </c>
      <c r="AS16" s="13">
        <f t="shared" si="12"/>
        <v>0.56718801696393661</v>
      </c>
      <c r="AT16" s="13">
        <f t="shared" si="13"/>
        <v>5.4105621805792161</v>
      </c>
      <c r="AU16" s="13">
        <f t="shared" si="14"/>
        <v>3.153189095186947</v>
      </c>
      <c r="AV16" s="13">
        <f t="shared" si="15"/>
        <v>0.22788834092500423</v>
      </c>
      <c r="AW16" s="13">
        <f t="shared" si="16"/>
        <v>0.2058837480089907</v>
      </c>
      <c r="AX16" s="13">
        <f t="shared" si="17"/>
        <v>7.794212218649518</v>
      </c>
      <c r="AY16" s="13">
        <f t="shared" si="18"/>
        <v>1.7773732437385461</v>
      </c>
      <c r="AZ16" s="13">
        <f t="shared" si="19"/>
        <v>13.028522543184259</v>
      </c>
      <c r="BA16" s="13">
        <f t="shared" si="4"/>
        <v>12.825028395559299</v>
      </c>
      <c r="BB16" s="13">
        <f t="shared" si="5"/>
        <v>4.9099836333878883</v>
      </c>
      <c r="BC16" s="15">
        <f t="shared" si="6"/>
        <v>63.926168502530516</v>
      </c>
    </row>
    <row r="17" spans="2:55" x14ac:dyDescent="0.2">
      <c r="B17" s="1">
        <f>B8+13*24</f>
        <v>522.5</v>
      </c>
      <c r="C17" s="3">
        <f t="shared" si="1"/>
        <v>46094.479166666672</v>
      </c>
      <c r="D17" s="4">
        <v>10700000</v>
      </c>
      <c r="E17" s="12">
        <v>32090</v>
      </c>
      <c r="F17" s="14">
        <v>534.84</v>
      </c>
      <c r="G17" s="13">
        <v>684.3</v>
      </c>
      <c r="H17" s="13">
        <v>590.5</v>
      </c>
      <c r="I17" s="14">
        <v>15.603899999999999</v>
      </c>
      <c r="J17" s="13">
        <v>20155.599999999999</v>
      </c>
      <c r="K17" s="13">
        <v>19723.8</v>
      </c>
      <c r="L17" s="14">
        <v>0.28939999999999999</v>
      </c>
      <c r="M17" s="14">
        <v>5833.1</v>
      </c>
      <c r="N17" s="13">
        <v>14693.3</v>
      </c>
      <c r="O17" s="13">
        <v>13226.5</v>
      </c>
      <c r="P17" s="14">
        <v>0.48159999999999997</v>
      </c>
      <c r="Q17" s="14">
        <v>7075.6</v>
      </c>
      <c r="R17" s="13">
        <v>72633.600000000006</v>
      </c>
      <c r="S17" s="13">
        <v>71242.7</v>
      </c>
      <c r="T17" s="14">
        <v>0.27839999999999998</v>
      </c>
      <c r="U17" s="15">
        <v>20218.099999999999</v>
      </c>
      <c r="V17" s="12">
        <v>8095</v>
      </c>
      <c r="W17" s="14">
        <v>134.91999999999999</v>
      </c>
      <c r="X17" s="13">
        <v>219405.9</v>
      </c>
      <c r="Y17" s="13">
        <v>295759.7</v>
      </c>
      <c r="Z17" s="14">
        <v>4.7699999999999999E-2</v>
      </c>
      <c r="AA17" s="13">
        <v>33717.699999999997</v>
      </c>
      <c r="AB17" s="13">
        <v>33728.300000000003</v>
      </c>
      <c r="AC17" s="14">
        <v>7.2099999999999997E-2</v>
      </c>
      <c r="AD17" s="14">
        <v>2429.4</v>
      </c>
      <c r="AE17" s="13">
        <v>65718.399999999994</v>
      </c>
      <c r="AF17" s="13">
        <v>65625.7</v>
      </c>
      <c r="AG17" s="14">
        <v>6.0900000000000003E-2</v>
      </c>
      <c r="AH17" s="14">
        <v>4003.7</v>
      </c>
      <c r="AI17" s="13">
        <v>5886.2</v>
      </c>
      <c r="AJ17" s="13">
        <v>5851.3</v>
      </c>
      <c r="AK17" s="14">
        <v>4.6199999999999998E-2</v>
      </c>
      <c r="AL17" s="15">
        <v>272</v>
      </c>
      <c r="AM17" s="12">
        <f t="shared" si="2"/>
        <v>3.9641754169240273</v>
      </c>
      <c r="AN17" s="13">
        <f t="shared" si="7"/>
        <v>3.9641268900088948</v>
      </c>
      <c r="AO17" s="13">
        <f t="shared" si="8"/>
        <v>3.1188769308391432E-3</v>
      </c>
      <c r="AP17" s="13">
        <f t="shared" si="9"/>
        <v>1.9965532829523428E-3</v>
      </c>
      <c r="AQ17" s="13">
        <f t="shared" si="10"/>
        <v>327.12578616352198</v>
      </c>
      <c r="AR17" s="13">
        <f t="shared" si="11"/>
        <v>0.59777505583121027</v>
      </c>
      <c r="AS17" s="13">
        <f t="shared" si="12"/>
        <v>0.58478488391054384</v>
      </c>
      <c r="AT17" s="13">
        <f t="shared" si="13"/>
        <v>4.013869625520111</v>
      </c>
      <c r="AU17" s="13">
        <f t="shared" si="14"/>
        <v>2.401045525644192</v>
      </c>
      <c r="AV17" s="13">
        <f t="shared" si="15"/>
        <v>0.22357969761893171</v>
      </c>
      <c r="AW17" s="13">
        <f t="shared" si="16"/>
        <v>0.20154451685848684</v>
      </c>
      <c r="AX17" s="13">
        <f t="shared" si="17"/>
        <v>7.9080459770114935</v>
      </c>
      <c r="AY17" s="13">
        <f t="shared" si="18"/>
        <v>1.767265279616355</v>
      </c>
      <c r="AZ17" s="13">
        <f t="shared" si="19"/>
        <v>12.339641874214266</v>
      </c>
      <c r="BA17" s="13">
        <f t="shared" si="4"/>
        <v>12.175533642096628</v>
      </c>
      <c r="BB17" s="13">
        <f t="shared" si="5"/>
        <v>6.0259740259740262</v>
      </c>
      <c r="BC17" s="15">
        <f t="shared" si="6"/>
        <v>74.331249999999997</v>
      </c>
    </row>
    <row r="18" spans="2:55" x14ac:dyDescent="0.2">
      <c r="B18" s="1">
        <f>B17+24</f>
        <v>546.5</v>
      </c>
      <c r="C18" s="3">
        <f t="shared" si="1"/>
        <v>46095.479166666672</v>
      </c>
      <c r="D18" s="4">
        <v>19700000</v>
      </c>
      <c r="E18" s="12">
        <v>25404</v>
      </c>
      <c r="F18" s="14">
        <v>423.41</v>
      </c>
      <c r="G18" s="13">
        <v>454.9</v>
      </c>
      <c r="H18" s="13">
        <v>244.1</v>
      </c>
      <c r="I18" s="14">
        <v>8.0786999999999995</v>
      </c>
      <c r="J18" s="13">
        <v>19623.900000000001</v>
      </c>
      <c r="K18" s="13">
        <v>19021</v>
      </c>
      <c r="L18" s="14">
        <v>0.28210000000000002</v>
      </c>
      <c r="M18" s="14">
        <v>5536.7</v>
      </c>
      <c r="N18" s="13">
        <v>15832.1</v>
      </c>
      <c r="O18" s="13">
        <v>13973.3</v>
      </c>
      <c r="P18" s="14">
        <v>0.50539999999999996</v>
      </c>
      <c r="Q18" s="14">
        <v>8001.4</v>
      </c>
      <c r="R18" s="13">
        <v>72326.7</v>
      </c>
      <c r="S18" s="13">
        <v>70670.399999999994</v>
      </c>
      <c r="T18" s="14">
        <v>0.26369999999999999</v>
      </c>
      <c r="U18" s="15">
        <v>19073.3</v>
      </c>
      <c r="V18" s="12">
        <v>2917</v>
      </c>
      <c r="W18" s="14">
        <v>48.62</v>
      </c>
      <c r="X18" s="13">
        <v>212563.20000000001</v>
      </c>
      <c r="Y18" s="13">
        <v>282449.59999999998</v>
      </c>
      <c r="Z18" s="14">
        <v>6.4799999999999996E-2</v>
      </c>
      <c r="AA18" s="13">
        <v>33190.400000000001</v>
      </c>
      <c r="AB18" s="13">
        <v>33214.699999999997</v>
      </c>
      <c r="AC18" s="14">
        <v>6.8699999999999997E-2</v>
      </c>
      <c r="AD18" s="14">
        <v>2278.9</v>
      </c>
      <c r="AE18" s="13">
        <v>67719.199999999997</v>
      </c>
      <c r="AF18" s="13">
        <v>67913.2</v>
      </c>
      <c r="AG18" s="14">
        <v>5.5399999999999998E-2</v>
      </c>
      <c r="AH18" s="14">
        <v>3754.5</v>
      </c>
      <c r="AI18" s="13">
        <v>5534.5</v>
      </c>
      <c r="AJ18" s="13">
        <v>5513.2</v>
      </c>
      <c r="AK18" s="14">
        <v>6.4299999999999996E-2</v>
      </c>
      <c r="AL18" s="15">
        <v>355.6</v>
      </c>
      <c r="AM18" s="12">
        <f t="shared" si="2"/>
        <v>8.70894754885156</v>
      </c>
      <c r="AN18" s="13">
        <f t="shared" si="7"/>
        <v>8.7085561497326207</v>
      </c>
      <c r="AO18" s="13">
        <f t="shared" si="8"/>
        <v>2.1400694005359344E-3</v>
      </c>
      <c r="AP18" s="13">
        <f t="shared" si="9"/>
        <v>8.642249803150722E-4</v>
      </c>
      <c r="AQ18" s="13">
        <f t="shared" si="10"/>
        <v>124.67129629629629</v>
      </c>
      <c r="AR18" s="13">
        <f t="shared" si="11"/>
        <v>0.59125228981874278</v>
      </c>
      <c r="AS18" s="13">
        <f t="shared" si="12"/>
        <v>0.57266812585993554</v>
      </c>
      <c r="AT18" s="13">
        <f t="shared" si="13"/>
        <v>4.1062590975254736</v>
      </c>
      <c r="AU18" s="13">
        <f t="shared" si="14"/>
        <v>2.4295493439817455</v>
      </c>
      <c r="AV18" s="13">
        <f t="shared" si="15"/>
        <v>0.23379041689801416</v>
      </c>
      <c r="AW18" s="13">
        <f t="shared" si="16"/>
        <v>0.20575234269626524</v>
      </c>
      <c r="AX18" s="13">
        <f t="shared" si="17"/>
        <v>9.1227436823104693</v>
      </c>
      <c r="AY18" s="13">
        <f t="shared" si="18"/>
        <v>2.1311492875216405</v>
      </c>
      <c r="AZ18" s="13">
        <f t="shared" si="19"/>
        <v>13.068334989610623</v>
      </c>
      <c r="BA18" s="13">
        <f t="shared" si="4"/>
        <v>12.818399477617355</v>
      </c>
      <c r="BB18" s="13">
        <f t="shared" si="5"/>
        <v>4.1010886469673409</v>
      </c>
      <c r="BC18" s="15">
        <f t="shared" si="6"/>
        <v>53.636951631046117</v>
      </c>
    </row>
    <row r="19" spans="2:55" x14ac:dyDescent="0.2">
      <c r="B19" s="1">
        <f>B18+24</f>
        <v>570.5</v>
      </c>
      <c r="C19" s="3">
        <f t="shared" si="1"/>
        <v>46096.479166666672</v>
      </c>
      <c r="D19" s="4">
        <v>28800000</v>
      </c>
      <c r="E19" s="16">
        <v>39539</v>
      </c>
      <c r="F19" s="18">
        <v>658.99</v>
      </c>
      <c r="G19" s="17">
        <v>451.2</v>
      </c>
      <c r="H19" s="17">
        <v>235.4</v>
      </c>
      <c r="I19" s="18">
        <v>0.85940000000000005</v>
      </c>
      <c r="J19" s="17">
        <v>19851.3</v>
      </c>
      <c r="K19" s="17">
        <v>18884.5</v>
      </c>
      <c r="L19" s="18">
        <v>0.30259999999999998</v>
      </c>
      <c r="M19" s="18">
        <v>6007.8</v>
      </c>
      <c r="N19" s="17">
        <v>16777.599999999999</v>
      </c>
      <c r="O19" s="17">
        <v>14804</v>
      </c>
      <c r="P19" s="18">
        <v>0.51090000000000002</v>
      </c>
      <c r="Q19" s="18">
        <v>8572.5</v>
      </c>
      <c r="R19" s="17">
        <v>72193.100000000006</v>
      </c>
      <c r="S19" s="17">
        <v>68962.5</v>
      </c>
      <c r="T19" s="18">
        <v>0.28189999999999998</v>
      </c>
      <c r="U19" s="19">
        <v>20351.599999999999</v>
      </c>
      <c r="V19" s="16">
        <v>70</v>
      </c>
      <c r="W19" s="18">
        <v>1.17</v>
      </c>
      <c r="X19" s="17">
        <v>216591.3</v>
      </c>
      <c r="Y19" s="17">
        <v>288570.09999999998</v>
      </c>
      <c r="Z19" s="18">
        <v>5.1200000000000002E-2</v>
      </c>
      <c r="AA19" s="17">
        <v>32869.199999999997</v>
      </c>
      <c r="AB19" s="17">
        <v>32582.400000000001</v>
      </c>
      <c r="AC19" s="18">
        <v>5.9700000000000003E-2</v>
      </c>
      <c r="AD19" s="18">
        <v>1961.4</v>
      </c>
      <c r="AE19" s="17">
        <v>70754.2</v>
      </c>
      <c r="AF19" s="17">
        <v>71492.3</v>
      </c>
      <c r="AG19" s="18">
        <v>4.6600000000000003E-2</v>
      </c>
      <c r="AH19" s="18">
        <v>3295.4</v>
      </c>
      <c r="AI19" s="17">
        <v>5576.3</v>
      </c>
      <c r="AJ19" s="17">
        <v>5567.6</v>
      </c>
      <c r="AK19" s="18">
        <v>4.99E-2</v>
      </c>
      <c r="AL19" s="19">
        <v>278.39999999999998</v>
      </c>
      <c r="AM19" s="16">
        <f t="shared" si="2"/>
        <v>564.84285714285716</v>
      </c>
      <c r="AN19" s="17">
        <f t="shared" si="7"/>
        <v>563.23931623931628</v>
      </c>
      <c r="AO19" s="17">
        <f t="shared" si="8"/>
        <v>2.0831861667573908E-3</v>
      </c>
      <c r="AP19" s="17">
        <f t="shared" si="9"/>
        <v>8.1574632992122197E-4</v>
      </c>
      <c r="AQ19" s="17">
        <f t="shared" si="10"/>
        <v>16.78515625</v>
      </c>
      <c r="AR19" s="17">
        <f t="shared" si="11"/>
        <v>0.60394837720419114</v>
      </c>
      <c r="AS19" s="17">
        <f t="shared" si="12"/>
        <v>0.57959204969554112</v>
      </c>
      <c r="AT19" s="17">
        <f t="shared" si="13"/>
        <v>5.0686767169179223</v>
      </c>
      <c r="AU19" s="17">
        <f t="shared" si="14"/>
        <v>3.0630162129091465</v>
      </c>
      <c r="AV19" s="17">
        <f t="shared" si="15"/>
        <v>0.2371251459277329</v>
      </c>
      <c r="AW19" s="17">
        <f t="shared" si="16"/>
        <v>0.20707125102983118</v>
      </c>
      <c r="AX19" s="17">
        <f t="shared" si="17"/>
        <v>10.963519313304721</v>
      </c>
      <c r="AY19" s="17">
        <f t="shared" si="18"/>
        <v>2.6013534017114766</v>
      </c>
      <c r="AZ19" s="17">
        <f t="shared" si="19"/>
        <v>12.946416082348511</v>
      </c>
      <c r="BA19" s="17">
        <f t="shared" si="4"/>
        <v>12.386396292837128</v>
      </c>
      <c r="BB19" s="17">
        <f t="shared" si="5"/>
        <v>5.6492985971943881</v>
      </c>
      <c r="BC19" s="19">
        <f>U19/AL19</f>
        <v>73.102011494252878</v>
      </c>
    </row>
    <row r="27" spans="2:55" x14ac:dyDescent="0.2">
      <c r="L27" s="2"/>
      <c r="O27" s="2"/>
      <c r="S27" s="2"/>
      <c r="W27" s="2"/>
    </row>
    <row r="28" spans="2:55" x14ac:dyDescent="0.2">
      <c r="I28" s="2"/>
      <c r="L28" s="2"/>
      <c r="O28" s="2"/>
      <c r="P28" s="2"/>
      <c r="S28" s="2"/>
      <c r="T28" s="2"/>
      <c r="W28" s="2"/>
    </row>
    <row r="29" spans="2:55" x14ac:dyDescent="0.2">
      <c r="I29" s="2"/>
      <c r="L29" s="2"/>
      <c r="O29" s="2"/>
      <c r="P29" s="2"/>
      <c r="S29" s="2"/>
      <c r="T29" s="2"/>
      <c r="W29" s="2"/>
    </row>
    <row r="30" spans="2:55" x14ac:dyDescent="0.2">
      <c r="I30" s="2"/>
      <c r="L30" s="2"/>
      <c r="P30" s="2"/>
      <c r="T30" s="2"/>
    </row>
  </sheetData>
  <mergeCells count="3">
    <mergeCell ref="E1:U1"/>
    <mergeCell ref="V1:AL1"/>
    <mergeCell ref="AM1:B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0"/>
  <sheetViews>
    <sheetView workbookViewId="0">
      <selection activeCell="AM1" sqref="AM1:BC2"/>
    </sheetView>
  </sheetViews>
  <sheetFormatPr baseColWidth="10" defaultColWidth="8.83203125" defaultRowHeight="15" outlineLevelCol="1" x14ac:dyDescent="0.2"/>
  <cols>
    <col min="1" max="1" width="12.5" customWidth="1"/>
    <col min="2" max="2" width="6.6640625" style="1" customWidth="1"/>
    <col min="3" max="3" width="10.5" style="3" customWidth="1"/>
    <col min="4" max="4" width="12.5" style="3" customWidth="1"/>
    <col min="5" max="38" width="6.6640625" hidden="1" customWidth="1" outlineLevel="1"/>
    <col min="39" max="39" width="8.83203125" collapsed="1"/>
  </cols>
  <sheetData>
    <row r="1" spans="1:55" x14ac:dyDescent="0.2">
      <c r="E1" s="6" t="s">
        <v>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6" t="s">
        <v>0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8"/>
      <c r="AM1" s="6" t="s">
        <v>21</v>
      </c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8"/>
    </row>
    <row r="2" spans="1:55" x14ac:dyDescent="0.2">
      <c r="C2" s="3" t="s">
        <v>3</v>
      </c>
      <c r="D2" s="3" t="s">
        <v>2</v>
      </c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0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2"/>
      <c r="AM2" t="s">
        <v>4</v>
      </c>
      <c r="AN2" t="s">
        <v>5</v>
      </c>
      <c r="AO2" s="5" t="s">
        <v>6</v>
      </c>
      <c r="AP2" t="s">
        <v>7</v>
      </c>
      <c r="AQ2" t="s">
        <v>8</v>
      </c>
      <c r="AR2" s="5" t="s">
        <v>9</v>
      </c>
      <c r="AS2" t="s">
        <v>10</v>
      </c>
      <c r="AT2" t="s">
        <v>11</v>
      </c>
      <c r="AU2" t="s">
        <v>12</v>
      </c>
      <c r="AV2" s="5" t="s">
        <v>13</v>
      </c>
      <c r="AW2" t="s">
        <v>14</v>
      </c>
      <c r="AX2" t="s">
        <v>15</v>
      </c>
      <c r="AY2" t="s">
        <v>16</v>
      </c>
      <c r="AZ2" s="5" t="s">
        <v>17</v>
      </c>
      <c r="BA2" t="s">
        <v>18</v>
      </c>
      <c r="BB2" t="s">
        <v>19</v>
      </c>
      <c r="BC2" t="s">
        <v>20</v>
      </c>
    </row>
    <row r="3" spans="1:55" x14ac:dyDescent="0.2">
      <c r="A3" s="3">
        <v>46072.708333333336</v>
      </c>
      <c r="B3" s="1">
        <f>18.5+24</f>
        <v>42.5</v>
      </c>
      <c r="C3" s="3">
        <f>B3/24+$A$3</f>
        <v>46074.479166666672</v>
      </c>
      <c r="D3" s="4">
        <v>1900000</v>
      </c>
      <c r="E3" s="12">
        <v>10927</v>
      </c>
      <c r="F3" s="13">
        <v>182.12</v>
      </c>
      <c r="G3" s="14">
        <v>429.7</v>
      </c>
      <c r="H3" s="13">
        <v>201.3</v>
      </c>
      <c r="I3" s="14">
        <v>0.96609999999999996</v>
      </c>
      <c r="J3" s="14">
        <v>18950.900000000001</v>
      </c>
      <c r="K3" s="13">
        <v>18122</v>
      </c>
      <c r="L3" s="14">
        <v>0.36980000000000002</v>
      </c>
      <c r="M3" s="13">
        <v>7008.7</v>
      </c>
      <c r="N3" s="14">
        <v>14868.5</v>
      </c>
      <c r="O3" s="13">
        <v>13362.4</v>
      </c>
      <c r="P3" s="14">
        <v>0.48270000000000002</v>
      </c>
      <c r="Q3" s="13">
        <v>7177</v>
      </c>
      <c r="R3" s="14">
        <v>63656.1</v>
      </c>
      <c r="S3" s="13">
        <v>61648.7</v>
      </c>
      <c r="T3" s="14">
        <v>0.31009999999999999</v>
      </c>
      <c r="U3" s="15">
        <v>19740</v>
      </c>
      <c r="V3" s="12">
        <v>550</v>
      </c>
      <c r="W3" s="13">
        <v>9.17</v>
      </c>
      <c r="X3" s="14">
        <v>227864.4</v>
      </c>
      <c r="Y3" s="13">
        <v>309305</v>
      </c>
      <c r="Z3" s="14">
        <v>6.6699999999999995E-2</v>
      </c>
      <c r="AA3" s="14">
        <v>33815.599999999999</v>
      </c>
      <c r="AB3" s="13">
        <v>33908.1</v>
      </c>
      <c r="AC3" s="14">
        <v>7.1099999999999997E-2</v>
      </c>
      <c r="AD3" s="13">
        <v>2405.5</v>
      </c>
      <c r="AE3" s="14">
        <v>68295.3</v>
      </c>
      <c r="AF3" s="13">
        <v>67599.199999999997</v>
      </c>
      <c r="AG3" s="14">
        <v>5.5199999999999999E-2</v>
      </c>
      <c r="AH3" s="13">
        <v>3766.6</v>
      </c>
      <c r="AI3" s="14">
        <v>6050.5</v>
      </c>
      <c r="AJ3" s="13">
        <v>6034.2</v>
      </c>
      <c r="AK3" s="14">
        <v>5.2900000000000003E-2</v>
      </c>
      <c r="AL3" s="15">
        <v>320</v>
      </c>
      <c r="AM3" s="12">
        <f>E3/V3</f>
        <v>19.867272727272727</v>
      </c>
      <c r="AN3" s="13">
        <f t="shared" ref="AN3:BC18" si="0">F3/W3</f>
        <v>19.860414394765542</v>
      </c>
      <c r="AO3" s="13">
        <f t="shared" si="0"/>
        <v>1.8857706600943368E-3</v>
      </c>
      <c r="AP3" s="13">
        <f t="shared" si="0"/>
        <v>6.5081392153376117E-4</v>
      </c>
      <c r="AQ3" s="13">
        <f t="shared" si="0"/>
        <v>14.484257871064468</v>
      </c>
      <c r="AR3" s="13">
        <f t="shared" si="0"/>
        <v>0.56041885993446816</v>
      </c>
      <c r="AS3" s="13">
        <f t="shared" si="0"/>
        <v>0.53444457224085107</v>
      </c>
      <c r="AT3" s="13">
        <f t="shared" si="0"/>
        <v>5.2011251758087207</v>
      </c>
      <c r="AU3" s="13">
        <f t="shared" si="0"/>
        <v>2.9136146331324047</v>
      </c>
      <c r="AV3" s="13">
        <f t="shared" si="0"/>
        <v>0.2177089785095021</v>
      </c>
      <c r="AW3" s="13">
        <f t="shared" si="0"/>
        <v>0.19767097835477343</v>
      </c>
      <c r="AX3" s="13">
        <f t="shared" si="0"/>
        <v>8.7445652173913047</v>
      </c>
      <c r="AY3" s="13">
        <f t="shared" si="0"/>
        <v>1.9054319545478682</v>
      </c>
      <c r="AZ3" s="13">
        <f t="shared" si="0"/>
        <v>10.52079993388976</v>
      </c>
      <c r="BA3" s="13">
        <f t="shared" si="0"/>
        <v>10.216549004010474</v>
      </c>
      <c r="BB3" s="13">
        <f t="shared" si="0"/>
        <v>5.8620037807183358</v>
      </c>
      <c r="BC3" s="15">
        <f t="shared" si="0"/>
        <v>61.6875</v>
      </c>
    </row>
    <row r="4" spans="1:55" x14ac:dyDescent="0.2">
      <c r="B4" s="1">
        <f>B3+24</f>
        <v>66.5</v>
      </c>
      <c r="C4" s="3">
        <f t="shared" ref="C4:C19" si="1">B4/24+$A$3</f>
        <v>46075.479166666672</v>
      </c>
      <c r="D4" s="4">
        <v>1390000</v>
      </c>
      <c r="E4" s="12">
        <v>6438</v>
      </c>
      <c r="F4" s="13">
        <v>107.3</v>
      </c>
      <c r="G4" s="14">
        <v>613.1</v>
      </c>
      <c r="H4" s="13">
        <v>503.6</v>
      </c>
      <c r="I4" s="14">
        <v>6.1155999999999997</v>
      </c>
      <c r="J4" s="14">
        <v>20740.7</v>
      </c>
      <c r="K4" s="13">
        <v>19600.900000000001</v>
      </c>
      <c r="L4" s="14">
        <v>0.47149999999999997</v>
      </c>
      <c r="M4" s="13">
        <v>9779.7999999999993</v>
      </c>
      <c r="N4" s="14">
        <v>17935.099999999999</v>
      </c>
      <c r="O4" s="13">
        <v>15578.1</v>
      </c>
      <c r="P4" s="14">
        <v>0.53480000000000005</v>
      </c>
      <c r="Q4" s="13">
        <v>9591.2999999999993</v>
      </c>
      <c r="R4" s="14">
        <v>65383.3</v>
      </c>
      <c r="S4" s="13">
        <v>62456.4</v>
      </c>
      <c r="T4" s="14">
        <v>0.40389999999999998</v>
      </c>
      <c r="U4" s="15">
        <v>26408.6</v>
      </c>
      <c r="V4" s="12">
        <v>2828</v>
      </c>
      <c r="W4" s="13">
        <v>47.14</v>
      </c>
      <c r="X4" s="14">
        <v>225347.9</v>
      </c>
      <c r="Y4" s="13">
        <v>306993.90000000002</v>
      </c>
      <c r="Z4" s="14">
        <v>7.1300000000000002E-2</v>
      </c>
      <c r="AA4" s="14">
        <v>33676.5</v>
      </c>
      <c r="AB4" s="13">
        <v>33597.300000000003</v>
      </c>
      <c r="AC4" s="14">
        <v>9.0300000000000005E-2</v>
      </c>
      <c r="AD4" s="13">
        <v>3040.4</v>
      </c>
      <c r="AE4" s="14">
        <v>70000.2</v>
      </c>
      <c r="AF4" s="13">
        <v>70284</v>
      </c>
      <c r="AG4" s="14">
        <v>5.2900000000000003E-2</v>
      </c>
      <c r="AH4" s="13">
        <v>3704.8</v>
      </c>
      <c r="AI4" s="14">
        <v>6047.8</v>
      </c>
      <c r="AJ4" s="13">
        <v>6042.4</v>
      </c>
      <c r="AK4" s="14">
        <v>6.4699999999999994E-2</v>
      </c>
      <c r="AL4" s="15">
        <v>391.1</v>
      </c>
      <c r="AM4" s="12">
        <f t="shared" ref="AM4:AM19" si="2">E4/V4</f>
        <v>2.2765205091937766</v>
      </c>
      <c r="AN4" s="13">
        <f t="shared" si="0"/>
        <v>2.2761985574883323</v>
      </c>
      <c r="AO4" s="13">
        <f t="shared" si="0"/>
        <v>2.7206821097511893E-3</v>
      </c>
      <c r="AP4" s="13">
        <f t="shared" si="0"/>
        <v>1.6404234742123541E-3</v>
      </c>
      <c r="AQ4" s="13">
        <f t="shared" si="0"/>
        <v>85.772791023842913</v>
      </c>
      <c r="AR4" s="13">
        <f t="shared" si="0"/>
        <v>0.61588051014802614</v>
      </c>
      <c r="AS4" s="13">
        <f t="shared" si="0"/>
        <v>0.58340699996725931</v>
      </c>
      <c r="AT4" s="13">
        <f t="shared" si="0"/>
        <v>5.2214839424141744</v>
      </c>
      <c r="AU4" s="13">
        <f t="shared" si="0"/>
        <v>3.2166162347059593</v>
      </c>
      <c r="AV4" s="13">
        <f t="shared" si="0"/>
        <v>0.25621498224290784</v>
      </c>
      <c r="AW4" s="13">
        <f t="shared" si="0"/>
        <v>0.22164504012292982</v>
      </c>
      <c r="AX4" s="13">
        <f t="shared" si="0"/>
        <v>10.109640831758034</v>
      </c>
      <c r="AY4" s="13">
        <f t="shared" si="0"/>
        <v>2.5888846901317208</v>
      </c>
      <c r="AZ4" s="13">
        <f t="shared" si="0"/>
        <v>10.81108832964053</v>
      </c>
      <c r="BA4" s="13">
        <f t="shared" si="0"/>
        <v>10.336356414669668</v>
      </c>
      <c r="BB4" s="13">
        <f t="shared" si="0"/>
        <v>6.2426584234930456</v>
      </c>
      <c r="BC4" s="15">
        <f t="shared" si="0"/>
        <v>67.523906929174117</v>
      </c>
    </row>
    <row r="5" spans="1:55" x14ac:dyDescent="0.2">
      <c r="B5" s="1">
        <f>B4+24</f>
        <v>90.5</v>
      </c>
      <c r="C5" s="3">
        <f t="shared" si="1"/>
        <v>46076.479166666672</v>
      </c>
      <c r="D5" s="4">
        <v>277000</v>
      </c>
      <c r="E5" s="12">
        <v>12423</v>
      </c>
      <c r="F5" s="13">
        <v>207.05</v>
      </c>
      <c r="G5" s="14">
        <v>1462.3</v>
      </c>
      <c r="H5" s="13">
        <v>1780.8</v>
      </c>
      <c r="I5" s="14">
        <v>3.2924000000000002</v>
      </c>
      <c r="J5" s="14">
        <v>18461.599999999999</v>
      </c>
      <c r="K5" s="13">
        <v>16717</v>
      </c>
      <c r="L5" s="14">
        <v>0.57120000000000004</v>
      </c>
      <c r="M5" s="13">
        <v>10545.4</v>
      </c>
      <c r="N5" s="14">
        <v>16446.400000000001</v>
      </c>
      <c r="O5" s="13">
        <v>14335.6</v>
      </c>
      <c r="P5" s="14">
        <v>0.55459999999999998</v>
      </c>
      <c r="Q5" s="13">
        <v>9120.5</v>
      </c>
      <c r="R5" s="14">
        <v>51890.400000000001</v>
      </c>
      <c r="S5" s="13">
        <v>45447.1</v>
      </c>
      <c r="T5" s="14">
        <v>0.4778</v>
      </c>
      <c r="U5" s="15">
        <v>24794</v>
      </c>
      <c r="V5" s="12">
        <v>769</v>
      </c>
      <c r="W5" s="13">
        <v>12.82</v>
      </c>
      <c r="X5" s="14">
        <v>189510.2</v>
      </c>
      <c r="Y5" s="13">
        <v>256844.1</v>
      </c>
      <c r="Z5" s="14">
        <v>0.39090000000000003</v>
      </c>
      <c r="AA5" s="14">
        <v>32151.5</v>
      </c>
      <c r="AB5" s="13">
        <v>33045.300000000003</v>
      </c>
      <c r="AC5" s="14">
        <v>0.1729</v>
      </c>
      <c r="AD5" s="13">
        <v>5558</v>
      </c>
      <c r="AE5" s="14">
        <v>68112.399999999994</v>
      </c>
      <c r="AF5" s="13">
        <v>67976.3</v>
      </c>
      <c r="AG5" s="14">
        <v>7.0400000000000004E-2</v>
      </c>
      <c r="AH5" s="13">
        <v>4793.2</v>
      </c>
      <c r="AI5" s="14">
        <v>5951.3</v>
      </c>
      <c r="AJ5" s="13">
        <v>5946.1</v>
      </c>
      <c r="AK5" s="14">
        <v>7.0099999999999996E-2</v>
      </c>
      <c r="AL5" s="15">
        <v>417.2</v>
      </c>
      <c r="AM5" s="12">
        <f t="shared" si="2"/>
        <v>16.154746423927179</v>
      </c>
      <c r="AN5" s="13">
        <f t="shared" si="0"/>
        <v>16.150546021840874</v>
      </c>
      <c r="AO5" s="13">
        <f t="shared" si="0"/>
        <v>7.7162073598149332E-3</v>
      </c>
      <c r="AP5" s="13">
        <f t="shared" si="0"/>
        <v>6.9333887755256979E-3</v>
      </c>
      <c r="AQ5" s="13">
        <f t="shared" si="0"/>
        <v>8.4226144794064979</v>
      </c>
      <c r="AR5" s="13">
        <f t="shared" si="0"/>
        <v>0.57420649114349254</v>
      </c>
      <c r="AS5" s="13">
        <f t="shared" si="0"/>
        <v>0.50588132049035717</v>
      </c>
      <c r="AT5" s="13">
        <f t="shared" si="0"/>
        <v>3.3036437246963564</v>
      </c>
      <c r="AU5" s="13">
        <f t="shared" si="0"/>
        <v>1.8973371716444765</v>
      </c>
      <c r="AV5" s="13">
        <f t="shared" si="0"/>
        <v>0.24145970484082196</v>
      </c>
      <c r="AW5" s="13">
        <f t="shared" si="0"/>
        <v>0.21089114882687054</v>
      </c>
      <c r="AX5" s="13">
        <f t="shared" si="0"/>
        <v>7.8778409090909083</v>
      </c>
      <c r="AY5" s="13">
        <f t="shared" si="0"/>
        <v>1.9027997997162647</v>
      </c>
      <c r="AZ5" s="13">
        <f t="shared" si="0"/>
        <v>8.7191706013812116</v>
      </c>
      <c r="BA5" s="13">
        <f t="shared" si="0"/>
        <v>7.643177881300347</v>
      </c>
      <c r="BB5" s="13">
        <f t="shared" si="0"/>
        <v>6.8159771754636242</v>
      </c>
      <c r="BC5" s="15">
        <f t="shared" si="0"/>
        <v>59.429530201342281</v>
      </c>
    </row>
    <row r="6" spans="1:55" x14ac:dyDescent="0.2">
      <c r="B6" s="1">
        <f>B5+3*24</f>
        <v>162.5</v>
      </c>
      <c r="C6" s="3">
        <f t="shared" si="1"/>
        <v>46079.479166666672</v>
      </c>
      <c r="D6" s="4">
        <v>2320</v>
      </c>
      <c r="E6" s="12">
        <v>113</v>
      </c>
      <c r="F6" s="13">
        <v>1.88</v>
      </c>
      <c r="G6" s="14">
        <v>603.1</v>
      </c>
      <c r="H6" s="13">
        <v>507.4</v>
      </c>
      <c r="I6" s="14">
        <v>1.1886000000000001</v>
      </c>
      <c r="J6" s="14">
        <v>19618.5</v>
      </c>
      <c r="K6" s="13">
        <v>17618.900000000001</v>
      </c>
      <c r="L6" s="14">
        <v>0.46650000000000003</v>
      </c>
      <c r="M6" s="13">
        <v>9151.4</v>
      </c>
      <c r="N6" s="14">
        <v>14557.2</v>
      </c>
      <c r="O6" s="13">
        <v>12514.5</v>
      </c>
      <c r="P6" s="14">
        <v>0.54090000000000005</v>
      </c>
      <c r="Q6" s="13">
        <v>7873.5</v>
      </c>
      <c r="R6" s="14">
        <v>65734.899999999994</v>
      </c>
      <c r="S6" s="13">
        <v>57920.9</v>
      </c>
      <c r="T6" s="14">
        <v>0.39850000000000002</v>
      </c>
      <c r="U6" s="15">
        <v>26196.5</v>
      </c>
      <c r="V6" s="12">
        <v>641</v>
      </c>
      <c r="W6" s="13">
        <v>10.68</v>
      </c>
      <c r="X6" s="14">
        <v>215513.2</v>
      </c>
      <c r="Y6" s="13">
        <v>292516.2</v>
      </c>
      <c r="Z6" s="14">
        <v>4.6899999999999997E-2</v>
      </c>
      <c r="AA6" s="14">
        <v>33871.4</v>
      </c>
      <c r="AB6" s="13">
        <v>33877.9</v>
      </c>
      <c r="AC6" s="14">
        <v>7.7600000000000002E-2</v>
      </c>
      <c r="AD6" s="13">
        <v>2628.9</v>
      </c>
      <c r="AE6" s="14">
        <v>63513.8</v>
      </c>
      <c r="AF6" s="13">
        <v>62201.3</v>
      </c>
      <c r="AG6" s="14">
        <v>7.8600000000000003E-2</v>
      </c>
      <c r="AH6" s="13">
        <v>4993.8999999999996</v>
      </c>
      <c r="AI6" s="14">
        <v>5806.9</v>
      </c>
      <c r="AJ6" s="13">
        <v>5772.8</v>
      </c>
      <c r="AK6" s="14">
        <v>6.13E-2</v>
      </c>
      <c r="AL6" s="15">
        <v>356</v>
      </c>
      <c r="AM6" s="12">
        <f t="shared" si="2"/>
        <v>0.17628705148205928</v>
      </c>
      <c r="AN6" s="13">
        <f t="shared" si="0"/>
        <v>0.17602996254681647</v>
      </c>
      <c r="AO6" s="13">
        <f t="shared" si="0"/>
        <v>2.7984364762808031E-3</v>
      </c>
      <c r="AP6" s="13">
        <f t="shared" si="0"/>
        <v>1.7346047842820328E-3</v>
      </c>
      <c r="AQ6" s="13">
        <f t="shared" si="0"/>
        <v>25.343283582089555</v>
      </c>
      <c r="AR6" s="13">
        <f t="shared" si="0"/>
        <v>0.57920546537787043</v>
      </c>
      <c r="AS6" s="13">
        <f t="shared" si="0"/>
        <v>0.52007060650158365</v>
      </c>
      <c r="AT6" s="13">
        <f t="shared" si="0"/>
        <v>6.0115979381443303</v>
      </c>
      <c r="AU6" s="13">
        <f t="shared" si="0"/>
        <v>3.4810757350983299</v>
      </c>
      <c r="AV6" s="13">
        <f t="shared" si="0"/>
        <v>0.22919743425838165</v>
      </c>
      <c r="AW6" s="13">
        <f t="shared" si="0"/>
        <v>0.20119354418637553</v>
      </c>
      <c r="AX6" s="13">
        <f t="shared" si="0"/>
        <v>6.8816793893129775</v>
      </c>
      <c r="AY6" s="13">
        <f t="shared" si="0"/>
        <v>1.5766234806463888</v>
      </c>
      <c r="AZ6" s="13">
        <f t="shared" si="0"/>
        <v>11.320136389467702</v>
      </c>
      <c r="BA6" s="13">
        <f t="shared" si="0"/>
        <v>10.033415327050998</v>
      </c>
      <c r="BB6" s="13">
        <f t="shared" si="0"/>
        <v>6.5008156606851557</v>
      </c>
      <c r="BC6" s="15">
        <f t="shared" si="0"/>
        <v>73.585674157303373</v>
      </c>
    </row>
    <row r="7" spans="1:55" x14ac:dyDescent="0.2">
      <c r="B7" s="1">
        <f>B6+24</f>
        <v>186.5</v>
      </c>
      <c r="C7" s="3">
        <f t="shared" si="1"/>
        <v>46080.479166666672</v>
      </c>
      <c r="D7" s="4">
        <v>3310</v>
      </c>
      <c r="E7" s="12">
        <v>198</v>
      </c>
      <c r="F7" s="13">
        <v>3.3</v>
      </c>
      <c r="G7" s="14">
        <v>8638.2000000000007</v>
      </c>
      <c r="H7" s="13">
        <v>13073.5</v>
      </c>
      <c r="I7" s="14">
        <v>6.1612999999999998</v>
      </c>
      <c r="J7" s="14">
        <v>19611.5</v>
      </c>
      <c r="K7" s="13">
        <v>18059.900000000001</v>
      </c>
      <c r="L7" s="14">
        <v>0.41589999999999999</v>
      </c>
      <c r="M7" s="13">
        <v>8156.2</v>
      </c>
      <c r="N7" s="14">
        <v>14679.5</v>
      </c>
      <c r="O7" s="13">
        <v>12797.3</v>
      </c>
      <c r="P7" s="14">
        <v>0.60560000000000003</v>
      </c>
      <c r="Q7" s="13">
        <v>8889.7000000000007</v>
      </c>
      <c r="R7" s="14">
        <v>68002.399999999994</v>
      </c>
      <c r="S7" s="13">
        <v>63136.800000000003</v>
      </c>
      <c r="T7" s="14">
        <v>0.36780000000000002</v>
      </c>
      <c r="U7" s="15">
        <v>25013.7</v>
      </c>
      <c r="V7" s="12">
        <v>2679</v>
      </c>
      <c r="W7" s="13">
        <v>44.66</v>
      </c>
      <c r="X7" s="14">
        <v>216852.6</v>
      </c>
      <c r="Y7" s="13">
        <v>290365.90000000002</v>
      </c>
      <c r="Z7" s="14">
        <v>5.6099999999999997E-2</v>
      </c>
      <c r="AA7" s="14">
        <v>33566.1</v>
      </c>
      <c r="AB7" s="13">
        <v>33614.300000000003</v>
      </c>
      <c r="AC7" s="14">
        <v>7.4899999999999994E-2</v>
      </c>
      <c r="AD7" s="13">
        <v>2514.6999999999998</v>
      </c>
      <c r="AE7" s="14">
        <v>67764.7</v>
      </c>
      <c r="AF7" s="13">
        <v>67902.899999999994</v>
      </c>
      <c r="AG7" s="14">
        <v>5.6099999999999997E-2</v>
      </c>
      <c r="AH7" s="13">
        <v>3802.8</v>
      </c>
      <c r="AI7" s="14">
        <v>5635.7</v>
      </c>
      <c r="AJ7" s="13">
        <v>5623.8</v>
      </c>
      <c r="AK7" s="14">
        <v>6.3700000000000007E-2</v>
      </c>
      <c r="AL7" s="15">
        <v>358.8</v>
      </c>
      <c r="AM7" s="12">
        <f t="shared" si="2"/>
        <v>7.3908174692049272E-2</v>
      </c>
      <c r="AN7" s="13">
        <f t="shared" si="0"/>
        <v>7.3891625615763554E-2</v>
      </c>
      <c r="AO7" s="13">
        <f t="shared" si="0"/>
        <v>3.9834431314173781E-2</v>
      </c>
      <c r="AP7" s="13">
        <f t="shared" si="0"/>
        <v>4.5024226329606884E-2</v>
      </c>
      <c r="AQ7" s="13">
        <f t="shared" si="0"/>
        <v>109.8270944741533</v>
      </c>
      <c r="AR7" s="13">
        <f t="shared" si="0"/>
        <v>0.58426507696753571</v>
      </c>
      <c r="AS7" s="13">
        <f t="shared" si="0"/>
        <v>0.53726836495182106</v>
      </c>
      <c r="AT7" s="13">
        <f t="shared" si="0"/>
        <v>5.5527369826435251</v>
      </c>
      <c r="AU7" s="13">
        <f t="shared" si="0"/>
        <v>3.2434087565117111</v>
      </c>
      <c r="AV7" s="13">
        <f t="shared" si="0"/>
        <v>0.21662458477643967</v>
      </c>
      <c r="AW7" s="13">
        <f t="shared" si="0"/>
        <v>0.18846470474751448</v>
      </c>
      <c r="AX7" s="13">
        <f t="shared" si="0"/>
        <v>10.795008912655973</v>
      </c>
      <c r="AY7" s="13">
        <f t="shared" si="0"/>
        <v>2.3376722415062585</v>
      </c>
      <c r="AZ7" s="13">
        <f t="shared" si="0"/>
        <v>12.066362652376812</v>
      </c>
      <c r="BA7" s="13">
        <f t="shared" si="0"/>
        <v>11.226715032540275</v>
      </c>
      <c r="BB7" s="13">
        <f t="shared" si="0"/>
        <v>5.7739403453689162</v>
      </c>
      <c r="BC7" s="15">
        <f t="shared" si="0"/>
        <v>69.714882943143806</v>
      </c>
    </row>
    <row r="8" spans="1:55" x14ac:dyDescent="0.2">
      <c r="B8" s="1">
        <f>B7+24</f>
        <v>210.5</v>
      </c>
      <c r="C8" s="3">
        <f t="shared" si="1"/>
        <v>46081.479166666672</v>
      </c>
      <c r="D8" s="4">
        <v>5850</v>
      </c>
      <c r="E8" s="12">
        <v>361</v>
      </c>
      <c r="F8" s="13">
        <v>6.02</v>
      </c>
      <c r="G8" s="14">
        <v>463.7</v>
      </c>
      <c r="H8" s="13">
        <v>259.5</v>
      </c>
      <c r="I8" s="14">
        <v>0.82250000000000001</v>
      </c>
      <c r="J8" s="14">
        <v>19976.400000000001</v>
      </c>
      <c r="K8" s="13">
        <v>18304.099999999999</v>
      </c>
      <c r="L8" s="14">
        <v>0.37109999999999999</v>
      </c>
      <c r="M8" s="13">
        <v>7414.2</v>
      </c>
      <c r="N8" s="14">
        <v>13542.8</v>
      </c>
      <c r="O8" s="13">
        <v>11714.8</v>
      </c>
      <c r="P8" s="14">
        <v>0.57169999999999999</v>
      </c>
      <c r="Q8" s="13">
        <v>7742.7</v>
      </c>
      <c r="R8" s="14">
        <v>68136</v>
      </c>
      <c r="S8" s="13">
        <v>63946.3</v>
      </c>
      <c r="T8" s="14">
        <v>0.33560000000000001</v>
      </c>
      <c r="U8" s="15">
        <v>22863.4</v>
      </c>
      <c r="V8" s="12">
        <v>2753</v>
      </c>
      <c r="W8" s="13">
        <v>45.88</v>
      </c>
      <c r="X8" s="14">
        <v>212692.6</v>
      </c>
      <c r="Y8" s="13">
        <v>285225.09999999998</v>
      </c>
      <c r="Z8" s="14">
        <v>5.74E-2</v>
      </c>
      <c r="AA8" s="14">
        <v>33351</v>
      </c>
      <c r="AB8" s="13">
        <v>33442.300000000003</v>
      </c>
      <c r="AC8" s="14">
        <v>6.7199999999999996E-2</v>
      </c>
      <c r="AD8" s="13">
        <v>2242.4</v>
      </c>
      <c r="AE8" s="14">
        <v>60361.9</v>
      </c>
      <c r="AF8" s="13">
        <v>58319.9</v>
      </c>
      <c r="AG8" s="14">
        <v>9.1999999999999998E-2</v>
      </c>
      <c r="AH8" s="13">
        <v>5552.9</v>
      </c>
      <c r="AI8" s="14">
        <v>5528.9</v>
      </c>
      <c r="AJ8" s="13">
        <v>5521.2</v>
      </c>
      <c r="AK8" s="14">
        <v>6.5600000000000006E-2</v>
      </c>
      <c r="AL8" s="15">
        <v>362.5</v>
      </c>
      <c r="AM8" s="12">
        <f t="shared" si="2"/>
        <v>0.13112967671630948</v>
      </c>
      <c r="AN8" s="13">
        <f t="shared" si="0"/>
        <v>0.13121185701830862</v>
      </c>
      <c r="AO8" s="13">
        <f t="shared" si="0"/>
        <v>2.1801416692447222E-3</v>
      </c>
      <c r="AP8" s="13">
        <f t="shared" si="0"/>
        <v>9.0980772730029724E-4</v>
      </c>
      <c r="AQ8" s="13">
        <f t="shared" si="0"/>
        <v>14.329268292682928</v>
      </c>
      <c r="AR8" s="13">
        <f t="shared" si="0"/>
        <v>0.59897454349194934</v>
      </c>
      <c r="AS8" s="13">
        <f t="shared" si="0"/>
        <v>0.54733376591921001</v>
      </c>
      <c r="AT8" s="13">
        <f t="shared" si="0"/>
        <v>5.5223214285714288</v>
      </c>
      <c r="AU8" s="13">
        <f t="shared" si="0"/>
        <v>3.306368176953264</v>
      </c>
      <c r="AV8" s="13">
        <f t="shared" si="0"/>
        <v>0.22436006818870843</v>
      </c>
      <c r="AW8" s="13">
        <f t="shared" si="0"/>
        <v>0.20087140067112597</v>
      </c>
      <c r="AX8" s="13">
        <f t="shared" si="0"/>
        <v>6.214130434782609</v>
      </c>
      <c r="AY8" s="13">
        <f t="shared" si="0"/>
        <v>1.3943525004952368</v>
      </c>
      <c r="AZ8" s="13">
        <f t="shared" si="0"/>
        <v>12.323608674419868</v>
      </c>
      <c r="BA8" s="13">
        <f t="shared" si="0"/>
        <v>11.581956820980947</v>
      </c>
      <c r="BB8" s="13">
        <f t="shared" si="0"/>
        <v>5.1158536585365848</v>
      </c>
      <c r="BC8" s="15">
        <f t="shared" si="0"/>
        <v>63.071448275862075</v>
      </c>
    </row>
    <row r="9" spans="1:55" x14ac:dyDescent="0.2">
      <c r="B9" s="1">
        <f>B8+24</f>
        <v>234.5</v>
      </c>
      <c r="C9" s="3">
        <f t="shared" si="1"/>
        <v>46082.479166666672</v>
      </c>
      <c r="D9" s="4">
        <v>10800</v>
      </c>
      <c r="E9" s="12">
        <v>529</v>
      </c>
      <c r="F9" s="13">
        <v>8.82</v>
      </c>
      <c r="G9" s="14">
        <v>446</v>
      </c>
      <c r="H9" s="13">
        <v>241.6</v>
      </c>
      <c r="I9" s="14">
        <v>0.86329999999999996</v>
      </c>
      <c r="J9" s="14">
        <v>19301.7</v>
      </c>
      <c r="K9" s="13">
        <v>17803.7</v>
      </c>
      <c r="L9" s="14">
        <v>0.36430000000000001</v>
      </c>
      <c r="M9" s="13">
        <v>7031.9</v>
      </c>
      <c r="N9" s="14">
        <v>12054.1</v>
      </c>
      <c r="O9" s="13">
        <v>10583.2</v>
      </c>
      <c r="P9" s="14">
        <v>0.48949999999999999</v>
      </c>
      <c r="Q9" s="13">
        <v>5900.4</v>
      </c>
      <c r="R9" s="14">
        <v>66246.100000000006</v>
      </c>
      <c r="S9" s="13">
        <v>59916.3</v>
      </c>
      <c r="T9" s="14">
        <v>0.33450000000000002</v>
      </c>
      <c r="U9" s="15">
        <v>22162.2</v>
      </c>
      <c r="V9" s="12">
        <v>3171</v>
      </c>
      <c r="W9" s="13">
        <v>52.85</v>
      </c>
      <c r="X9" s="14">
        <v>212853.2</v>
      </c>
      <c r="Y9" s="13">
        <v>286122.59999999998</v>
      </c>
      <c r="Z9" s="14">
        <v>5.74E-2</v>
      </c>
      <c r="AA9" s="14">
        <v>33559.800000000003</v>
      </c>
      <c r="AB9" s="13">
        <v>33610.1</v>
      </c>
      <c r="AC9" s="14">
        <v>8.0799999999999997E-2</v>
      </c>
      <c r="AD9" s="13">
        <v>2712</v>
      </c>
      <c r="AE9" s="14">
        <v>57741</v>
      </c>
      <c r="AF9" s="13">
        <v>55481.3</v>
      </c>
      <c r="AG9" s="14">
        <v>0.1055</v>
      </c>
      <c r="AH9" s="13">
        <v>6091.7</v>
      </c>
      <c r="AI9" s="14">
        <v>5512.6</v>
      </c>
      <c r="AJ9" s="13">
        <v>5506.5</v>
      </c>
      <c r="AK9" s="14">
        <v>6.4899999999999999E-2</v>
      </c>
      <c r="AL9" s="15">
        <v>357.7</v>
      </c>
      <c r="AM9" s="12">
        <f t="shared" si="2"/>
        <v>0.16682434563229265</v>
      </c>
      <c r="AN9" s="13">
        <f t="shared" si="0"/>
        <v>0.16688741721854305</v>
      </c>
      <c r="AO9" s="13">
        <f t="shared" si="0"/>
        <v>2.0953408264475235E-3</v>
      </c>
      <c r="AP9" s="13">
        <f t="shared" si="0"/>
        <v>8.4439327756702896E-4</v>
      </c>
      <c r="AQ9" s="13">
        <f t="shared" si="0"/>
        <v>15.040069686411149</v>
      </c>
      <c r="AR9" s="13">
        <f t="shared" si="0"/>
        <v>0.57514347522929221</v>
      </c>
      <c r="AS9" s="13">
        <f t="shared" si="0"/>
        <v>0.52971279466588916</v>
      </c>
      <c r="AT9" s="13">
        <f t="shared" si="0"/>
        <v>4.5086633663366342</v>
      </c>
      <c r="AU9" s="13">
        <f t="shared" si="0"/>
        <v>2.5928834808259587</v>
      </c>
      <c r="AV9" s="13">
        <f t="shared" si="0"/>
        <v>0.20876153859475935</v>
      </c>
      <c r="AW9" s="13">
        <f t="shared" si="0"/>
        <v>0.19075255987152429</v>
      </c>
      <c r="AX9" s="13">
        <f t="shared" si="0"/>
        <v>4.6398104265402846</v>
      </c>
      <c r="AY9" s="13">
        <f t="shared" si="0"/>
        <v>0.96859661506640182</v>
      </c>
      <c r="AZ9" s="13">
        <f t="shared" si="0"/>
        <v>12.017215107208941</v>
      </c>
      <c r="BA9" s="13">
        <f t="shared" si="0"/>
        <v>10.881013347861618</v>
      </c>
      <c r="BB9" s="13">
        <f t="shared" si="0"/>
        <v>5.1540832049306626</v>
      </c>
      <c r="BC9" s="15">
        <f t="shared" si="0"/>
        <v>61.957506290187311</v>
      </c>
    </row>
    <row r="10" spans="1:55" x14ac:dyDescent="0.2">
      <c r="B10" s="1">
        <f>B9+24</f>
        <v>258.5</v>
      </c>
      <c r="C10" s="3">
        <f t="shared" si="1"/>
        <v>46083.479166666672</v>
      </c>
      <c r="D10" s="4">
        <v>20300</v>
      </c>
      <c r="E10" s="12">
        <v>1095</v>
      </c>
      <c r="F10" s="13">
        <v>18.260000000000002</v>
      </c>
      <c r="G10" s="14">
        <v>575.79999999999995</v>
      </c>
      <c r="H10" s="13">
        <v>429.5</v>
      </c>
      <c r="I10" s="14">
        <v>4.3944999999999999</v>
      </c>
      <c r="J10" s="14">
        <v>18943.3</v>
      </c>
      <c r="K10" s="13">
        <v>17686.8</v>
      </c>
      <c r="L10" s="14">
        <v>0.35449999999999998</v>
      </c>
      <c r="M10" s="13">
        <v>6716</v>
      </c>
      <c r="N10" s="14">
        <v>12348.1</v>
      </c>
      <c r="O10" s="13">
        <v>11141.6</v>
      </c>
      <c r="P10" s="14">
        <v>0.47510000000000002</v>
      </c>
      <c r="Q10" s="13">
        <v>5866.5</v>
      </c>
      <c r="R10" s="14">
        <v>66317.399999999994</v>
      </c>
      <c r="S10" s="13">
        <v>62248.6</v>
      </c>
      <c r="T10" s="14">
        <v>0.32219999999999999</v>
      </c>
      <c r="U10" s="15">
        <v>21367</v>
      </c>
      <c r="V10" s="12">
        <v>7207</v>
      </c>
      <c r="W10" s="13">
        <v>120.15</v>
      </c>
      <c r="X10" s="14">
        <v>214093.1</v>
      </c>
      <c r="Y10" s="13">
        <v>286987.40000000002</v>
      </c>
      <c r="Z10" s="14">
        <v>5.3900000000000003E-2</v>
      </c>
      <c r="AA10" s="14">
        <v>33482.1</v>
      </c>
      <c r="AB10" s="13">
        <v>33495.800000000003</v>
      </c>
      <c r="AC10" s="14">
        <v>6.2199999999999998E-2</v>
      </c>
      <c r="AD10" s="13">
        <v>2083.6999999999998</v>
      </c>
      <c r="AE10" s="14">
        <v>59556.4</v>
      </c>
      <c r="AF10" s="13">
        <v>57385</v>
      </c>
      <c r="AG10" s="14">
        <v>9.7900000000000001E-2</v>
      </c>
      <c r="AH10" s="13">
        <v>5832.5</v>
      </c>
      <c r="AI10" s="14">
        <v>5466.7</v>
      </c>
      <c r="AJ10" s="13">
        <v>5442.9</v>
      </c>
      <c r="AK10" s="14">
        <v>6.1100000000000002E-2</v>
      </c>
      <c r="AL10" s="15">
        <v>334.1</v>
      </c>
      <c r="AM10" s="12">
        <f t="shared" si="2"/>
        <v>0.15193561814902179</v>
      </c>
      <c r="AN10" s="13">
        <f t="shared" si="0"/>
        <v>0.15197669579692052</v>
      </c>
      <c r="AO10" s="13">
        <f t="shared" si="0"/>
        <v>2.689484154323516E-3</v>
      </c>
      <c r="AP10" s="13">
        <f t="shared" si="0"/>
        <v>1.4965813830154215E-3</v>
      </c>
      <c r="AQ10" s="13">
        <f t="shared" si="0"/>
        <v>81.530612244897952</v>
      </c>
      <c r="AR10" s="13">
        <f t="shared" si="0"/>
        <v>0.56577395085732374</v>
      </c>
      <c r="AS10" s="13">
        <f t="shared" si="0"/>
        <v>0.52803037992822976</v>
      </c>
      <c r="AT10" s="13">
        <f t="shared" si="0"/>
        <v>5.69935691318328</v>
      </c>
      <c r="AU10" s="13">
        <f t="shared" si="0"/>
        <v>3.2231127321591404</v>
      </c>
      <c r="AV10" s="13">
        <f t="shared" si="0"/>
        <v>0.20733456018160937</v>
      </c>
      <c r="AW10" s="13">
        <f t="shared" si="0"/>
        <v>0.19415526705585084</v>
      </c>
      <c r="AX10" s="13">
        <f t="shared" si="0"/>
        <v>4.8529111338100108</v>
      </c>
      <c r="AY10" s="13">
        <f t="shared" si="0"/>
        <v>1.0058294042006002</v>
      </c>
      <c r="AZ10" s="13">
        <f t="shared" si="0"/>
        <v>12.131157736843067</v>
      </c>
      <c r="BA10" s="13">
        <f t="shared" si="0"/>
        <v>11.436660603722281</v>
      </c>
      <c r="BB10" s="13">
        <f t="shared" si="0"/>
        <v>5.2733224222585919</v>
      </c>
      <c r="BC10" s="15">
        <f t="shared" si="0"/>
        <v>63.953906016162819</v>
      </c>
    </row>
    <row r="11" spans="1:55" x14ac:dyDescent="0.2">
      <c r="B11" s="1">
        <f>B10+24*2</f>
        <v>306.5</v>
      </c>
      <c r="C11" s="3">
        <f t="shared" si="1"/>
        <v>46085.479166666672</v>
      </c>
      <c r="D11" s="4">
        <v>131000</v>
      </c>
      <c r="E11" s="12">
        <v>6635</v>
      </c>
      <c r="F11" s="13">
        <v>110.58</v>
      </c>
      <c r="G11" s="14">
        <v>459</v>
      </c>
      <c r="H11" s="13">
        <v>256.89999999999998</v>
      </c>
      <c r="I11" s="14">
        <v>14.820600000000001</v>
      </c>
      <c r="J11" s="14">
        <v>19293.7</v>
      </c>
      <c r="K11" s="13">
        <v>18031.900000000001</v>
      </c>
      <c r="L11" s="14">
        <v>0.3513</v>
      </c>
      <c r="M11" s="13">
        <v>6777.4</v>
      </c>
      <c r="N11" s="14">
        <v>11568.1</v>
      </c>
      <c r="O11" s="13">
        <v>10520.9</v>
      </c>
      <c r="P11" s="14">
        <v>0.47460000000000002</v>
      </c>
      <c r="Q11" s="13">
        <v>5490.4</v>
      </c>
      <c r="R11" s="14">
        <v>64220.9</v>
      </c>
      <c r="S11" s="13">
        <v>60460.7</v>
      </c>
      <c r="T11" s="14">
        <v>0.31419999999999998</v>
      </c>
      <c r="U11" s="15">
        <v>20177.900000000001</v>
      </c>
      <c r="V11" s="12">
        <v>1536</v>
      </c>
      <c r="W11" s="13">
        <v>25.6</v>
      </c>
      <c r="X11" s="14">
        <v>209705.9</v>
      </c>
      <c r="Y11" s="13">
        <v>280838</v>
      </c>
      <c r="Z11" s="14">
        <v>7.4399999999999994E-2</v>
      </c>
      <c r="AA11" s="14">
        <v>33347.800000000003</v>
      </c>
      <c r="AB11" s="13">
        <v>33430.6</v>
      </c>
      <c r="AC11" s="14">
        <v>8.6499999999999994E-2</v>
      </c>
      <c r="AD11" s="13">
        <v>2884.6</v>
      </c>
      <c r="AE11" s="14">
        <v>54685.2</v>
      </c>
      <c r="AF11" s="13">
        <v>53009.5</v>
      </c>
      <c r="AG11" s="14">
        <v>0.10539999999999999</v>
      </c>
      <c r="AH11" s="13">
        <v>5765.9</v>
      </c>
      <c r="AI11" s="14">
        <v>5356.5</v>
      </c>
      <c r="AJ11" s="13">
        <v>5363.9</v>
      </c>
      <c r="AK11" s="14">
        <v>6.54E-2</v>
      </c>
      <c r="AL11" s="15">
        <v>350.4</v>
      </c>
      <c r="AM11" s="12">
        <f t="shared" si="2"/>
        <v>4.319661458333333</v>
      </c>
      <c r="AN11" s="13">
        <f t="shared" si="0"/>
        <v>4.3195312499999998</v>
      </c>
      <c r="AO11" s="13">
        <f t="shared" si="0"/>
        <v>2.1887796194575357E-3</v>
      </c>
      <c r="AP11" s="13">
        <f t="shared" si="0"/>
        <v>9.1476224727422915E-4</v>
      </c>
      <c r="AQ11" s="13">
        <f t="shared" si="0"/>
        <v>199.20161290322582</v>
      </c>
      <c r="AR11" s="13">
        <f t="shared" si="0"/>
        <v>0.57855990500122945</v>
      </c>
      <c r="AS11" s="13">
        <f t="shared" si="0"/>
        <v>0.53938308017205805</v>
      </c>
      <c r="AT11" s="13">
        <f t="shared" si="0"/>
        <v>4.0612716763005787</v>
      </c>
      <c r="AU11" s="13">
        <f t="shared" si="0"/>
        <v>2.3495111973930527</v>
      </c>
      <c r="AV11" s="13">
        <f t="shared" si="0"/>
        <v>0.21153986819102794</v>
      </c>
      <c r="AW11" s="13">
        <f t="shared" si="0"/>
        <v>0.19847197200501795</v>
      </c>
      <c r="AX11" s="13">
        <f t="shared" si="0"/>
        <v>4.5028462998102468</v>
      </c>
      <c r="AY11" s="13">
        <f t="shared" si="0"/>
        <v>0.95221908114951703</v>
      </c>
      <c r="AZ11" s="13">
        <f t="shared" si="0"/>
        <v>11.989340054139831</v>
      </c>
      <c r="BA11" s="13">
        <f t="shared" si="0"/>
        <v>11.271779861667817</v>
      </c>
      <c r="BB11" s="13">
        <f t="shared" si="0"/>
        <v>4.8042813455657489</v>
      </c>
      <c r="BC11" s="15">
        <f t="shared" si="0"/>
        <v>57.585331050228319</v>
      </c>
    </row>
    <row r="12" spans="1:55" x14ac:dyDescent="0.2">
      <c r="B12" s="1">
        <f>B11+24</f>
        <v>330.5</v>
      </c>
      <c r="C12" s="3">
        <f t="shared" si="1"/>
        <v>46086.479166666672</v>
      </c>
      <c r="D12" s="4">
        <v>224000</v>
      </c>
      <c r="E12" s="12">
        <v>13053</v>
      </c>
      <c r="F12" s="13">
        <v>217.55</v>
      </c>
      <c r="G12" s="14">
        <v>499.7</v>
      </c>
      <c r="H12" s="13">
        <v>310.2</v>
      </c>
      <c r="I12" s="14">
        <v>17.547599999999999</v>
      </c>
      <c r="J12" s="14">
        <v>18893.3</v>
      </c>
      <c r="K12" s="13">
        <v>17655.599999999999</v>
      </c>
      <c r="L12" s="14">
        <v>0.35539999999999999</v>
      </c>
      <c r="M12" s="13">
        <v>6715</v>
      </c>
      <c r="N12" s="14">
        <v>12824.2</v>
      </c>
      <c r="O12" s="13">
        <v>11610.4</v>
      </c>
      <c r="P12" s="14">
        <v>0.48409999999999997</v>
      </c>
      <c r="Q12" s="13">
        <v>6207.7</v>
      </c>
      <c r="R12" s="14">
        <v>66145.899999999994</v>
      </c>
      <c r="S12" s="13">
        <v>62188.6</v>
      </c>
      <c r="T12" s="14">
        <v>0.32529999999999998</v>
      </c>
      <c r="U12" s="15">
        <v>21514.3</v>
      </c>
      <c r="V12" s="12">
        <v>4652</v>
      </c>
      <c r="W12" s="13">
        <v>77.53</v>
      </c>
      <c r="X12" s="14">
        <v>212688.2</v>
      </c>
      <c r="Y12" s="13">
        <v>284491.3</v>
      </c>
      <c r="Z12" s="14">
        <v>7.0199999999999999E-2</v>
      </c>
      <c r="AA12" s="14">
        <v>33277.699999999997</v>
      </c>
      <c r="AB12" s="13">
        <v>33332.400000000001</v>
      </c>
      <c r="AC12" s="14">
        <v>7.7499999999999999E-2</v>
      </c>
      <c r="AD12" s="13">
        <v>2577.8000000000002</v>
      </c>
      <c r="AE12" s="14">
        <v>60836</v>
      </c>
      <c r="AF12" s="13">
        <v>59405.5</v>
      </c>
      <c r="AG12" s="14">
        <v>9.06E-2</v>
      </c>
      <c r="AH12" s="13">
        <v>5514.6</v>
      </c>
      <c r="AI12" s="14">
        <v>5443.2</v>
      </c>
      <c r="AJ12" s="13">
        <v>5438</v>
      </c>
      <c r="AK12" s="14">
        <v>6.9800000000000001E-2</v>
      </c>
      <c r="AL12" s="15">
        <v>379.7</v>
      </c>
      <c r="AM12" s="12">
        <f t="shared" si="2"/>
        <v>2.8058899398108341</v>
      </c>
      <c r="AN12" s="13">
        <f t="shared" si="0"/>
        <v>2.8060105765510128</v>
      </c>
      <c r="AO12" s="13">
        <f t="shared" si="0"/>
        <v>2.3494486294961354E-3</v>
      </c>
      <c r="AP12" s="13">
        <f t="shared" si="0"/>
        <v>1.0903672625489779E-3</v>
      </c>
      <c r="AQ12" s="13">
        <f t="shared" si="0"/>
        <v>249.96581196581195</v>
      </c>
      <c r="AR12" s="13">
        <f t="shared" si="0"/>
        <v>0.56774656902370058</v>
      </c>
      <c r="AS12" s="13">
        <f t="shared" si="0"/>
        <v>0.52968283111927128</v>
      </c>
      <c r="AT12" s="13">
        <f t="shared" si="0"/>
        <v>4.5858064516129033</v>
      </c>
      <c r="AU12" s="13">
        <f t="shared" si="0"/>
        <v>2.6049344402203429</v>
      </c>
      <c r="AV12" s="13">
        <f t="shared" si="0"/>
        <v>0.21079952659609444</v>
      </c>
      <c r="AW12" s="13">
        <f t="shared" si="0"/>
        <v>0.19544318287027296</v>
      </c>
      <c r="AX12" s="13">
        <f t="shared" si="0"/>
        <v>5.3432671081677698</v>
      </c>
      <c r="AY12" s="13">
        <f t="shared" si="0"/>
        <v>1.1256845464766256</v>
      </c>
      <c r="AZ12" s="13">
        <f t="shared" si="0"/>
        <v>12.152024544385656</v>
      </c>
      <c r="BA12" s="13">
        <f t="shared" si="0"/>
        <v>11.435932328061787</v>
      </c>
      <c r="BB12" s="13">
        <f t="shared" si="0"/>
        <v>4.6604584527220627</v>
      </c>
      <c r="BC12" s="15">
        <f t="shared" si="0"/>
        <v>56.661311561759284</v>
      </c>
    </row>
    <row r="13" spans="1:55" x14ac:dyDescent="0.2">
      <c r="B13" s="1">
        <f t="shared" ref="B13:B15" si="3">B12+24</f>
        <v>354.5</v>
      </c>
      <c r="C13" s="3">
        <f t="shared" si="1"/>
        <v>46087.479166666672</v>
      </c>
      <c r="D13" s="4">
        <v>375000</v>
      </c>
      <c r="E13" s="12">
        <v>22512</v>
      </c>
      <c r="F13" s="13">
        <v>375.2</v>
      </c>
      <c r="G13" s="14">
        <v>462.8</v>
      </c>
      <c r="H13" s="13">
        <v>255.2</v>
      </c>
      <c r="I13" s="14">
        <v>14.2859</v>
      </c>
      <c r="J13" s="14">
        <v>18822.900000000001</v>
      </c>
      <c r="K13" s="13">
        <v>17625.599999999999</v>
      </c>
      <c r="L13" s="14">
        <v>0.3518</v>
      </c>
      <c r="M13" s="13">
        <v>6621.6</v>
      </c>
      <c r="N13" s="14">
        <v>12104.3</v>
      </c>
      <c r="O13" s="13">
        <v>10957.7</v>
      </c>
      <c r="P13" s="14">
        <v>0.47360000000000002</v>
      </c>
      <c r="Q13" s="13">
        <v>5733</v>
      </c>
      <c r="R13" s="14">
        <v>65697.5</v>
      </c>
      <c r="S13" s="13">
        <v>62352</v>
      </c>
      <c r="T13" s="14">
        <v>0.31590000000000001</v>
      </c>
      <c r="U13" s="15">
        <v>20752.900000000001</v>
      </c>
      <c r="V13" s="12">
        <v>3637</v>
      </c>
      <c r="W13" s="13">
        <v>60.62</v>
      </c>
      <c r="X13" s="14">
        <v>212353.5</v>
      </c>
      <c r="Y13" s="13">
        <v>285221.3</v>
      </c>
      <c r="Z13" s="14">
        <v>5.9700000000000003E-2</v>
      </c>
      <c r="AA13" s="14">
        <v>33358</v>
      </c>
      <c r="AB13" s="13">
        <v>33388.300000000003</v>
      </c>
      <c r="AC13" s="14">
        <v>6.83E-2</v>
      </c>
      <c r="AD13" s="13">
        <v>2279</v>
      </c>
      <c r="AE13" s="14">
        <v>58573.1</v>
      </c>
      <c r="AF13" s="13">
        <v>56211.9</v>
      </c>
      <c r="AG13" s="14">
        <v>0.10390000000000001</v>
      </c>
      <c r="AH13" s="13">
        <v>6083.4</v>
      </c>
      <c r="AI13" s="14">
        <v>5435.5</v>
      </c>
      <c r="AJ13" s="13">
        <v>5430.3</v>
      </c>
      <c r="AK13" s="14">
        <v>6.4399999999999999E-2</v>
      </c>
      <c r="AL13" s="15">
        <v>350.2</v>
      </c>
      <c r="AM13" s="12">
        <f t="shared" si="2"/>
        <v>6.1897167995600766</v>
      </c>
      <c r="AN13" s="13">
        <f t="shared" si="0"/>
        <v>6.1893764434180136</v>
      </c>
      <c r="AO13" s="13">
        <f t="shared" si="0"/>
        <v>2.1793848464941711E-3</v>
      </c>
      <c r="AP13" s="13">
        <f t="shared" si="0"/>
        <v>8.9474383575139727E-4</v>
      </c>
      <c r="AQ13" s="13">
        <f t="shared" si="0"/>
        <v>239.29480737018423</v>
      </c>
      <c r="AR13" s="13">
        <f t="shared" si="0"/>
        <v>0.56426944061394568</v>
      </c>
      <c r="AS13" s="13">
        <f t="shared" si="0"/>
        <v>0.52789749702740174</v>
      </c>
      <c r="AT13" s="13">
        <f t="shared" si="0"/>
        <v>5.1508052708638363</v>
      </c>
      <c r="AU13" s="13">
        <f t="shared" si="0"/>
        <v>2.9054848617814835</v>
      </c>
      <c r="AV13" s="13">
        <f t="shared" si="0"/>
        <v>0.20665288332015891</v>
      </c>
      <c r="AW13" s="13">
        <f t="shared" si="0"/>
        <v>0.19493559192982271</v>
      </c>
      <c r="AX13" s="13">
        <f t="shared" si="0"/>
        <v>4.5582290664100098</v>
      </c>
      <c r="AY13" s="13">
        <f t="shared" si="0"/>
        <v>0.94240063122595918</v>
      </c>
      <c r="AZ13" s="13">
        <f t="shared" si="0"/>
        <v>12.086744549719437</v>
      </c>
      <c r="BA13" s="13">
        <f t="shared" si="0"/>
        <v>11.482238550356334</v>
      </c>
      <c r="BB13" s="13">
        <f t="shared" si="0"/>
        <v>4.9052795031055902</v>
      </c>
      <c r="BC13" s="15">
        <f t="shared" si="0"/>
        <v>59.260137064534561</v>
      </c>
    </row>
    <row r="14" spans="1:55" x14ac:dyDescent="0.2">
      <c r="B14" s="1">
        <f t="shared" si="3"/>
        <v>378.5</v>
      </c>
      <c r="C14" s="3">
        <f t="shared" si="1"/>
        <v>46088.479166666672</v>
      </c>
      <c r="D14" s="4">
        <v>669000</v>
      </c>
      <c r="E14" s="12">
        <v>40582</v>
      </c>
      <c r="F14" s="13">
        <v>676.38</v>
      </c>
      <c r="G14" s="14">
        <v>468.1</v>
      </c>
      <c r="H14" s="13">
        <v>273.7</v>
      </c>
      <c r="I14" s="14">
        <v>7.4886999999999997</v>
      </c>
      <c r="J14" s="14">
        <v>19187.8</v>
      </c>
      <c r="K14" s="13">
        <v>18092.2</v>
      </c>
      <c r="L14" s="14">
        <v>0.34870000000000001</v>
      </c>
      <c r="M14" s="13">
        <v>6690.2</v>
      </c>
      <c r="N14" s="14">
        <v>13737.9</v>
      </c>
      <c r="O14" s="13">
        <v>12412.3</v>
      </c>
      <c r="P14" s="14">
        <v>0.48349999999999999</v>
      </c>
      <c r="Q14" s="13">
        <v>6641.6</v>
      </c>
      <c r="R14" s="14">
        <v>67839.8</v>
      </c>
      <c r="S14" s="13">
        <v>64393</v>
      </c>
      <c r="T14" s="14">
        <v>0.31819999999999998</v>
      </c>
      <c r="U14" s="15">
        <v>21585.3</v>
      </c>
      <c r="V14" s="12">
        <v>189</v>
      </c>
      <c r="W14" s="13">
        <v>3.15</v>
      </c>
      <c r="X14" s="14">
        <v>213257.9</v>
      </c>
      <c r="Y14" s="13">
        <v>285988.8</v>
      </c>
      <c r="Z14" s="14">
        <v>8.6800000000000002E-2</v>
      </c>
      <c r="AA14" s="14">
        <v>33376.300000000003</v>
      </c>
      <c r="AB14" s="13">
        <v>33284.800000000003</v>
      </c>
      <c r="AC14" s="14">
        <v>9.0300000000000005E-2</v>
      </c>
      <c r="AD14" s="13">
        <v>3013.1</v>
      </c>
      <c r="AE14" s="14">
        <v>64142.8</v>
      </c>
      <c r="AF14" s="13">
        <v>63235.9</v>
      </c>
      <c r="AG14" s="14">
        <v>7.0900000000000005E-2</v>
      </c>
      <c r="AH14" s="13">
        <v>4546.3999999999996</v>
      </c>
      <c r="AI14" s="14">
        <v>5580.8</v>
      </c>
      <c r="AJ14" s="13">
        <v>5545.7</v>
      </c>
      <c r="AK14" s="14">
        <v>6.25E-2</v>
      </c>
      <c r="AL14" s="15">
        <v>348.9</v>
      </c>
      <c r="AM14" s="12">
        <f t="shared" si="2"/>
        <v>214.71957671957671</v>
      </c>
      <c r="AN14" s="13">
        <f t="shared" si="0"/>
        <v>214.72380952380954</v>
      </c>
      <c r="AO14" s="13">
        <f t="shared" si="0"/>
        <v>2.1949948864731388E-3</v>
      </c>
      <c r="AP14" s="13">
        <f t="shared" si="0"/>
        <v>9.5703048510990645E-4</v>
      </c>
      <c r="AQ14" s="13">
        <f t="shared" si="0"/>
        <v>86.275345622119815</v>
      </c>
      <c r="AR14" s="13">
        <f t="shared" si="0"/>
        <v>0.57489296297073067</v>
      </c>
      <c r="AS14" s="13">
        <f t="shared" si="0"/>
        <v>0.5435574196029419</v>
      </c>
      <c r="AT14" s="13">
        <f t="shared" si="0"/>
        <v>3.8615725359911406</v>
      </c>
      <c r="AU14" s="13">
        <f t="shared" si="0"/>
        <v>2.2203710464305866</v>
      </c>
      <c r="AV14" s="13">
        <f t="shared" si="0"/>
        <v>0.21417680550272203</v>
      </c>
      <c r="AW14" s="13">
        <f t="shared" si="0"/>
        <v>0.1962856541932668</v>
      </c>
      <c r="AX14" s="13">
        <f t="shared" si="0"/>
        <v>6.819464033850493</v>
      </c>
      <c r="AY14" s="13">
        <f t="shared" si="0"/>
        <v>1.4608481435861342</v>
      </c>
      <c r="AZ14" s="13">
        <f t="shared" si="0"/>
        <v>12.15592746559633</v>
      </c>
      <c r="BA14" s="13">
        <f t="shared" si="0"/>
        <v>11.611338514524768</v>
      </c>
      <c r="BB14" s="13">
        <f t="shared" si="0"/>
        <v>5.0911999999999997</v>
      </c>
      <c r="BC14" s="15">
        <f t="shared" si="0"/>
        <v>61.866723989681859</v>
      </c>
    </row>
    <row r="15" spans="1:55" x14ac:dyDescent="0.2">
      <c r="B15" s="1">
        <f t="shared" si="3"/>
        <v>402.5</v>
      </c>
      <c r="C15" s="3">
        <f t="shared" si="1"/>
        <v>46089.479166666672</v>
      </c>
      <c r="D15" s="4">
        <v>865000</v>
      </c>
      <c r="E15" s="12">
        <v>15468</v>
      </c>
      <c r="F15" s="13">
        <v>257.81</v>
      </c>
      <c r="G15" s="14">
        <v>650.4</v>
      </c>
      <c r="H15" s="13">
        <v>576.1</v>
      </c>
      <c r="I15" s="14">
        <v>6.6795</v>
      </c>
      <c r="J15" s="14">
        <v>19015.2</v>
      </c>
      <c r="K15" s="13">
        <v>17952.900000000001</v>
      </c>
      <c r="L15" s="14">
        <v>0.35039999999999999</v>
      </c>
      <c r="M15" s="13">
        <v>6663.2</v>
      </c>
      <c r="N15" s="14">
        <v>14942.5</v>
      </c>
      <c r="O15" s="13">
        <v>13469</v>
      </c>
      <c r="P15" s="14">
        <v>0.47649999999999998</v>
      </c>
      <c r="Q15" s="13">
        <v>7120.2</v>
      </c>
      <c r="R15" s="14">
        <v>67267.100000000006</v>
      </c>
      <c r="S15" s="13">
        <v>63983.3</v>
      </c>
      <c r="T15" s="14">
        <v>0.3231</v>
      </c>
      <c r="U15" s="15">
        <v>21732.6</v>
      </c>
      <c r="V15" s="12">
        <v>708</v>
      </c>
      <c r="W15" s="13">
        <v>11.8</v>
      </c>
      <c r="X15" s="14">
        <v>218298.1</v>
      </c>
      <c r="Y15" s="13">
        <v>295565.2</v>
      </c>
      <c r="Z15" s="14">
        <v>5.3600000000000002E-2</v>
      </c>
      <c r="AA15" s="14">
        <v>33615.4</v>
      </c>
      <c r="AB15" s="13">
        <v>33652.400000000001</v>
      </c>
      <c r="AC15" s="14">
        <v>7.5499999999999998E-2</v>
      </c>
      <c r="AD15" s="13">
        <v>2539.4</v>
      </c>
      <c r="AE15" s="14">
        <v>69767.199999999997</v>
      </c>
      <c r="AF15" s="13">
        <v>69807</v>
      </c>
      <c r="AG15" s="14">
        <v>4.4499999999999998E-2</v>
      </c>
      <c r="AH15" s="13">
        <v>3101.2</v>
      </c>
      <c r="AI15" s="14">
        <v>5955.6</v>
      </c>
      <c r="AJ15" s="13">
        <v>5911.5</v>
      </c>
      <c r="AK15" s="14">
        <v>5.1299999999999998E-2</v>
      </c>
      <c r="AL15" s="15">
        <v>305.5</v>
      </c>
      <c r="AM15" s="12">
        <f t="shared" si="2"/>
        <v>21.847457627118644</v>
      </c>
      <c r="AN15" s="13">
        <f t="shared" si="0"/>
        <v>21.84830508474576</v>
      </c>
      <c r="AO15" s="13">
        <f t="shared" si="0"/>
        <v>2.9794120974942061E-3</v>
      </c>
      <c r="AP15" s="13">
        <f t="shared" si="0"/>
        <v>1.9491469225741056E-3</v>
      </c>
      <c r="AQ15" s="13">
        <f t="shared" si="0"/>
        <v>124.61753731343283</v>
      </c>
      <c r="AR15" s="13">
        <f t="shared" si="0"/>
        <v>0.56566930632983692</v>
      </c>
      <c r="AS15" s="13">
        <f t="shared" si="0"/>
        <v>0.5334805244202494</v>
      </c>
      <c r="AT15" s="13">
        <f t="shared" si="0"/>
        <v>4.6410596026490065</v>
      </c>
      <c r="AU15" s="13">
        <f t="shared" si="0"/>
        <v>2.6239269118689452</v>
      </c>
      <c r="AV15" s="13">
        <f t="shared" si="0"/>
        <v>0.21417657581212948</v>
      </c>
      <c r="AW15" s="13">
        <f t="shared" si="0"/>
        <v>0.19294626613376881</v>
      </c>
      <c r="AX15" s="13">
        <f t="shared" si="0"/>
        <v>10.707865168539326</v>
      </c>
      <c r="AY15" s="13">
        <f t="shared" si="0"/>
        <v>2.2959499548561846</v>
      </c>
      <c r="AZ15" s="13">
        <f t="shared" si="0"/>
        <v>11.29476459130902</v>
      </c>
      <c r="BA15" s="13">
        <f t="shared" si="0"/>
        <v>10.823530406834138</v>
      </c>
      <c r="BB15" s="13">
        <f t="shared" si="0"/>
        <v>6.2982456140350882</v>
      </c>
      <c r="BC15" s="15">
        <f t="shared" si="0"/>
        <v>71.137806873977084</v>
      </c>
    </row>
    <row r="16" spans="1:55" x14ac:dyDescent="0.2">
      <c r="B16" s="1">
        <f>B17-24</f>
        <v>498.5</v>
      </c>
      <c r="C16" s="3">
        <f t="shared" si="1"/>
        <v>46093.479166666672</v>
      </c>
      <c r="D16" s="4">
        <v>8370000</v>
      </c>
      <c r="E16" s="12">
        <v>17844</v>
      </c>
      <c r="F16" s="13">
        <v>297.43</v>
      </c>
      <c r="G16" s="14">
        <v>454.8</v>
      </c>
      <c r="H16" s="13">
        <v>234.7</v>
      </c>
      <c r="I16" s="14">
        <v>13.7689</v>
      </c>
      <c r="J16" s="14">
        <v>18877.099999999999</v>
      </c>
      <c r="K16" s="13">
        <v>18250.900000000001</v>
      </c>
      <c r="L16" s="14">
        <v>0.31459999999999999</v>
      </c>
      <c r="M16" s="13">
        <v>5939</v>
      </c>
      <c r="N16" s="14">
        <v>14599.2</v>
      </c>
      <c r="O16" s="13">
        <v>13024.8</v>
      </c>
      <c r="P16" s="14">
        <v>0.4839</v>
      </c>
      <c r="Q16" s="13">
        <v>7064.8</v>
      </c>
      <c r="R16" s="14">
        <v>68483.199999999997</v>
      </c>
      <c r="S16" s="13">
        <v>66531.5</v>
      </c>
      <c r="T16" s="14">
        <v>0.30399999999999999</v>
      </c>
      <c r="U16" s="15">
        <v>20820.900000000001</v>
      </c>
      <c r="V16" s="12">
        <v>1271</v>
      </c>
      <c r="W16" s="13">
        <v>21.19</v>
      </c>
      <c r="X16" s="14">
        <v>214115.1</v>
      </c>
      <c r="Y16" s="13">
        <v>284236.40000000002</v>
      </c>
      <c r="Z16" s="14">
        <v>5.8500000000000003E-2</v>
      </c>
      <c r="AA16" s="14">
        <v>33419.300000000003</v>
      </c>
      <c r="AB16" s="13">
        <v>33439</v>
      </c>
      <c r="AC16" s="14">
        <v>7.6600000000000001E-2</v>
      </c>
      <c r="AD16" s="13">
        <v>2559.6999999999998</v>
      </c>
      <c r="AE16" s="14">
        <v>65362.8</v>
      </c>
      <c r="AF16" s="13">
        <v>64865.599999999999</v>
      </c>
      <c r="AG16" s="14">
        <v>6.3399999999999998E-2</v>
      </c>
      <c r="AH16" s="13">
        <v>4144.1000000000004</v>
      </c>
      <c r="AI16" s="14">
        <v>5450.5</v>
      </c>
      <c r="AJ16" s="13">
        <v>5446.5</v>
      </c>
      <c r="AK16" s="14">
        <v>6.59E-2</v>
      </c>
      <c r="AL16" s="15">
        <v>359</v>
      </c>
      <c r="AM16" s="12">
        <f t="shared" si="2"/>
        <v>14.03933910306845</v>
      </c>
      <c r="AN16" s="13">
        <f t="shared" si="0"/>
        <v>14.036337895233601</v>
      </c>
      <c r="AO16" s="13">
        <f t="shared" si="0"/>
        <v>2.1240912014145663E-3</v>
      </c>
      <c r="AP16" s="13">
        <f t="shared" si="0"/>
        <v>8.2572112509164892E-4</v>
      </c>
      <c r="AQ16" s="13">
        <f t="shared" si="0"/>
        <v>235.36581196581196</v>
      </c>
      <c r="AR16" s="13">
        <f t="shared" si="0"/>
        <v>0.56485623576795441</v>
      </c>
      <c r="AS16" s="13">
        <f t="shared" si="0"/>
        <v>0.54579682406770547</v>
      </c>
      <c r="AT16" s="13">
        <f t="shared" si="0"/>
        <v>4.1070496083550916</v>
      </c>
      <c r="AU16" s="13">
        <f t="shared" si="0"/>
        <v>2.3201937727077393</v>
      </c>
      <c r="AV16" s="13">
        <f t="shared" si="0"/>
        <v>0.22335640456039216</v>
      </c>
      <c r="AW16" s="13">
        <f t="shared" si="0"/>
        <v>0.20079672430379122</v>
      </c>
      <c r="AX16" s="13">
        <f t="shared" si="0"/>
        <v>7.6324921135646688</v>
      </c>
      <c r="AY16" s="13">
        <f t="shared" si="0"/>
        <v>1.7047851161892811</v>
      </c>
      <c r="AZ16" s="13">
        <f t="shared" si="0"/>
        <v>12.564572057609393</v>
      </c>
      <c r="BA16" s="13">
        <f t="shared" si="0"/>
        <v>12.215459469384008</v>
      </c>
      <c r="BB16" s="13">
        <f t="shared" si="0"/>
        <v>4.6130500758725344</v>
      </c>
      <c r="BC16" s="15">
        <f t="shared" si="0"/>
        <v>57.99693593314764</v>
      </c>
    </row>
    <row r="17" spans="2:55" x14ac:dyDescent="0.2">
      <c r="B17" s="1">
        <f>B8+13*24</f>
        <v>522.5</v>
      </c>
      <c r="C17" s="3">
        <f t="shared" si="1"/>
        <v>46094.479166666672</v>
      </c>
      <c r="D17" s="4">
        <v>10700000</v>
      </c>
      <c r="E17" s="12">
        <v>24638</v>
      </c>
      <c r="F17" s="13">
        <v>410.64</v>
      </c>
      <c r="G17" s="14">
        <v>502.7</v>
      </c>
      <c r="H17" s="13">
        <v>329.9</v>
      </c>
      <c r="I17" s="14">
        <v>7.5921000000000003</v>
      </c>
      <c r="J17" s="14">
        <v>19029.8</v>
      </c>
      <c r="K17" s="13">
        <v>18554.400000000001</v>
      </c>
      <c r="L17" s="14">
        <v>0.30270000000000002</v>
      </c>
      <c r="M17" s="13">
        <v>5761.2</v>
      </c>
      <c r="N17" s="14">
        <v>14486.5</v>
      </c>
      <c r="O17" s="13">
        <v>13099.1</v>
      </c>
      <c r="P17" s="14">
        <v>0.47389999999999999</v>
      </c>
      <c r="Q17" s="13">
        <v>6865.2</v>
      </c>
      <c r="R17" s="14">
        <v>69985.5</v>
      </c>
      <c r="S17" s="13">
        <v>68599</v>
      </c>
      <c r="T17" s="14">
        <v>0.28799999999999998</v>
      </c>
      <c r="U17" s="15">
        <v>20154.099999999999</v>
      </c>
      <c r="V17" s="12">
        <v>2421</v>
      </c>
      <c r="W17" s="13">
        <v>40.35</v>
      </c>
      <c r="X17" s="14">
        <v>211603.20000000001</v>
      </c>
      <c r="Y17" s="13">
        <v>284418.3</v>
      </c>
      <c r="Z17" s="14">
        <v>6.8599999999999994E-2</v>
      </c>
      <c r="AA17" s="14">
        <v>33104.800000000003</v>
      </c>
      <c r="AB17" s="13">
        <v>33148.199999999997</v>
      </c>
      <c r="AC17" s="14">
        <v>9.5299999999999996E-2</v>
      </c>
      <c r="AD17" s="13">
        <v>3155.6</v>
      </c>
      <c r="AE17" s="14">
        <v>64066.5</v>
      </c>
      <c r="AF17" s="13">
        <v>63341.9</v>
      </c>
      <c r="AG17" s="14">
        <v>7.2599999999999998E-2</v>
      </c>
      <c r="AH17" s="13">
        <v>4650.8999999999996</v>
      </c>
      <c r="AI17" s="14">
        <v>5638.9</v>
      </c>
      <c r="AJ17" s="13">
        <v>5626.8</v>
      </c>
      <c r="AK17" s="14">
        <v>6.5500000000000003E-2</v>
      </c>
      <c r="AL17" s="15">
        <v>369.4</v>
      </c>
      <c r="AM17" s="12">
        <f t="shared" si="2"/>
        <v>10.176786451879389</v>
      </c>
      <c r="AN17" s="13">
        <f t="shared" si="0"/>
        <v>10.176951672862453</v>
      </c>
      <c r="AO17" s="13">
        <f t="shared" si="0"/>
        <v>2.3756729576868401E-3</v>
      </c>
      <c r="AP17" s="13">
        <f t="shared" si="0"/>
        <v>1.1599112996596914E-3</v>
      </c>
      <c r="AQ17" s="13">
        <f t="shared" si="0"/>
        <v>110.67201166180759</v>
      </c>
      <c r="AR17" s="13">
        <f t="shared" si="0"/>
        <v>0.57483506923467287</v>
      </c>
      <c r="AS17" s="13">
        <f t="shared" si="0"/>
        <v>0.55974080040545193</v>
      </c>
      <c r="AT17" s="13">
        <f t="shared" si="0"/>
        <v>3.1762854144805881</v>
      </c>
      <c r="AU17" s="13">
        <f t="shared" si="0"/>
        <v>1.825706680187603</v>
      </c>
      <c r="AV17" s="13">
        <f t="shared" si="0"/>
        <v>0.22611661320659002</v>
      </c>
      <c r="AW17" s="13">
        <f t="shared" si="0"/>
        <v>0.20679992232629588</v>
      </c>
      <c r="AX17" s="13">
        <f t="shared" si="0"/>
        <v>6.5275482093663912</v>
      </c>
      <c r="AY17" s="13">
        <f t="shared" si="0"/>
        <v>1.4761013997290848</v>
      </c>
      <c r="AZ17" s="13">
        <f t="shared" si="0"/>
        <v>12.411197219315826</v>
      </c>
      <c r="BA17" s="13">
        <f t="shared" si="0"/>
        <v>12.191476505296082</v>
      </c>
      <c r="BB17" s="13">
        <f t="shared" si="0"/>
        <v>4.3969465648854955</v>
      </c>
      <c r="BC17" s="15">
        <f t="shared" si="0"/>
        <v>54.559014618299948</v>
      </c>
    </row>
    <row r="18" spans="2:55" x14ac:dyDescent="0.2">
      <c r="B18" s="1">
        <f>B17+24</f>
        <v>546.5</v>
      </c>
      <c r="C18" s="3">
        <f t="shared" si="1"/>
        <v>46095.479166666672</v>
      </c>
      <c r="D18" s="4">
        <v>19700000</v>
      </c>
      <c r="E18" s="12">
        <v>19396</v>
      </c>
      <c r="F18" s="13">
        <v>323.27</v>
      </c>
      <c r="G18" s="14">
        <v>459.7</v>
      </c>
      <c r="H18" s="13">
        <v>249.1</v>
      </c>
      <c r="I18" s="14">
        <v>7.5160999999999998</v>
      </c>
      <c r="J18" s="14">
        <v>19854.2</v>
      </c>
      <c r="K18" s="13">
        <v>19299.3</v>
      </c>
      <c r="L18" s="14">
        <v>0.28610000000000002</v>
      </c>
      <c r="M18" s="13">
        <v>5680.3</v>
      </c>
      <c r="N18" s="14">
        <v>16217.6</v>
      </c>
      <c r="O18" s="13">
        <v>14389.5</v>
      </c>
      <c r="P18" s="14">
        <v>0.50139999999999996</v>
      </c>
      <c r="Q18" s="13">
        <v>8131.3</v>
      </c>
      <c r="R18" s="14">
        <v>72473.899999999994</v>
      </c>
      <c r="S18" s="13">
        <v>71087.899999999994</v>
      </c>
      <c r="T18" s="14">
        <v>0.2671</v>
      </c>
      <c r="U18" s="15">
        <v>19354.900000000001</v>
      </c>
      <c r="V18" s="12">
        <v>8747</v>
      </c>
      <c r="W18" s="13">
        <v>145.79</v>
      </c>
      <c r="X18" s="14">
        <v>212726.39999999999</v>
      </c>
      <c r="Y18" s="13">
        <v>283040.90000000002</v>
      </c>
      <c r="Z18" s="14">
        <v>6.3100000000000003E-2</v>
      </c>
      <c r="AA18" s="14">
        <v>33314.300000000003</v>
      </c>
      <c r="AB18" s="13">
        <v>33320.300000000003</v>
      </c>
      <c r="AC18" s="14">
        <v>6.3299999999999995E-2</v>
      </c>
      <c r="AD18" s="13">
        <v>2110.4</v>
      </c>
      <c r="AE18" s="14">
        <v>67893.899999999994</v>
      </c>
      <c r="AF18" s="13">
        <v>68118.100000000006</v>
      </c>
      <c r="AG18" s="14">
        <v>5.45E-2</v>
      </c>
      <c r="AH18" s="13">
        <v>3703.3</v>
      </c>
      <c r="AI18" s="14">
        <v>5522.7</v>
      </c>
      <c r="AJ18" s="13">
        <v>5503.6</v>
      </c>
      <c r="AK18" s="14">
        <v>6.3700000000000007E-2</v>
      </c>
      <c r="AL18" s="15">
        <v>351.9</v>
      </c>
      <c r="AM18" s="12">
        <f t="shared" si="2"/>
        <v>2.2174459814793646</v>
      </c>
      <c r="AN18" s="13">
        <f t="shared" si="0"/>
        <v>2.2173674463269086</v>
      </c>
      <c r="AO18" s="13">
        <f t="shared" si="0"/>
        <v>2.1609917715901743E-3</v>
      </c>
      <c r="AP18" s="13">
        <f t="shared" si="0"/>
        <v>8.8008482166358282E-4</v>
      </c>
      <c r="AQ18" s="13">
        <f t="shared" si="0"/>
        <v>119.11410459587955</v>
      </c>
      <c r="AR18" s="13">
        <f t="shared" si="0"/>
        <v>0.59596629675544732</v>
      </c>
      <c r="AS18" s="13">
        <f t="shared" si="0"/>
        <v>0.57920546933851125</v>
      </c>
      <c r="AT18" s="13">
        <f t="shared" si="0"/>
        <v>4.5197472353870465</v>
      </c>
      <c r="AU18" s="13">
        <f t="shared" si="0"/>
        <v>2.6915750568612586</v>
      </c>
      <c r="AV18" s="13">
        <f t="shared" si="0"/>
        <v>0.23886682014142657</v>
      </c>
      <c r="AW18" s="13">
        <f t="shared" si="0"/>
        <v>0.21124341401184119</v>
      </c>
      <c r="AX18" s="13">
        <f t="shared" si="0"/>
        <v>9.1999999999999993</v>
      </c>
      <c r="AY18" s="13">
        <f t="shared" si="0"/>
        <v>2.1956903302459967</v>
      </c>
      <c r="AZ18" s="13">
        <f t="shared" si="0"/>
        <v>13.122910895033225</v>
      </c>
      <c r="BA18" s="13">
        <f t="shared" si="0"/>
        <v>12.916618213532958</v>
      </c>
      <c r="BB18" s="13">
        <f t="shared" si="0"/>
        <v>4.1930926216640501</v>
      </c>
      <c r="BC18" s="15">
        <f t="shared" ref="BC18:BC19" si="4">U18/AL18</f>
        <v>55.001136686558688</v>
      </c>
    </row>
    <row r="19" spans="2:55" x14ac:dyDescent="0.2">
      <c r="B19" s="1">
        <f>B18+24</f>
        <v>570.5</v>
      </c>
      <c r="C19" s="3">
        <f t="shared" si="1"/>
        <v>46096.479166666672</v>
      </c>
      <c r="D19" s="4">
        <v>28800000</v>
      </c>
      <c r="E19" s="16">
        <v>35134</v>
      </c>
      <c r="F19" s="17">
        <v>585.61</v>
      </c>
      <c r="G19" s="18">
        <v>458.3</v>
      </c>
      <c r="H19" s="17">
        <v>246.1</v>
      </c>
      <c r="I19" s="18">
        <v>6.6238000000000001</v>
      </c>
      <c r="J19" s="18">
        <v>20165.7</v>
      </c>
      <c r="K19" s="17">
        <v>19482.400000000001</v>
      </c>
      <c r="L19" s="18">
        <v>0.28799999999999998</v>
      </c>
      <c r="M19" s="17">
        <v>5808.1</v>
      </c>
      <c r="N19" s="18">
        <v>17086.400000000001</v>
      </c>
      <c r="O19" s="17">
        <v>15229</v>
      </c>
      <c r="P19" s="18">
        <v>0.49430000000000002</v>
      </c>
      <c r="Q19" s="17">
        <v>8445.2999999999993</v>
      </c>
      <c r="R19" s="18">
        <v>72740.899999999994</v>
      </c>
      <c r="S19" s="17">
        <v>70853</v>
      </c>
      <c r="T19" s="18">
        <v>0.2666</v>
      </c>
      <c r="U19" s="19">
        <v>19395.900000000001</v>
      </c>
      <c r="V19" s="16">
        <v>936</v>
      </c>
      <c r="W19" s="17">
        <v>15.6</v>
      </c>
      <c r="X19" s="18">
        <v>217923.8</v>
      </c>
      <c r="Y19" s="17">
        <v>290162</v>
      </c>
      <c r="Z19" s="18">
        <v>5.5800000000000002E-2</v>
      </c>
      <c r="AA19" s="18">
        <v>33393.5</v>
      </c>
      <c r="AB19" s="17">
        <v>33303.599999999999</v>
      </c>
      <c r="AC19" s="18">
        <v>7.0199999999999999E-2</v>
      </c>
      <c r="AD19" s="17">
        <v>2345.1999999999998</v>
      </c>
      <c r="AE19" s="18">
        <v>71303</v>
      </c>
      <c r="AF19" s="17">
        <v>71480.600000000006</v>
      </c>
      <c r="AG19" s="18">
        <v>4.3999999999999997E-2</v>
      </c>
      <c r="AH19" s="17">
        <v>3135.9</v>
      </c>
      <c r="AI19" s="18">
        <v>5605.1</v>
      </c>
      <c r="AJ19" s="17">
        <v>5581.4</v>
      </c>
      <c r="AK19" s="18">
        <v>5.0999999999999997E-2</v>
      </c>
      <c r="AL19" s="19">
        <v>285.89999999999998</v>
      </c>
      <c r="AM19" s="16">
        <f t="shared" si="2"/>
        <v>37.536324786324784</v>
      </c>
      <c r="AN19" s="17">
        <f t="shared" ref="AN19" si="5">F19/W19</f>
        <v>37.539102564102564</v>
      </c>
      <c r="AO19" s="17">
        <f t="shared" ref="AO19" si="6">G19/X19</f>
        <v>2.1030286733252634E-3</v>
      </c>
      <c r="AP19" s="17">
        <f t="shared" ref="AP19" si="7">H19/Y19</f>
        <v>8.4814689725050147E-4</v>
      </c>
      <c r="AQ19" s="17">
        <f t="shared" ref="AQ19" si="8">I19/Z19</f>
        <v>118.70609318996415</v>
      </c>
      <c r="AR19" s="17">
        <f t="shared" ref="AR19" si="9">J19/AA19</f>
        <v>0.60388099480437807</v>
      </c>
      <c r="AS19" s="17">
        <f t="shared" ref="AS19" si="10">K19/AB19</f>
        <v>0.58499381448251853</v>
      </c>
      <c r="AT19" s="17">
        <f t="shared" ref="AT19" si="11">L19/AC19</f>
        <v>4.1025641025641022</v>
      </c>
      <c r="AU19" s="17">
        <f t="shared" ref="AU19" si="12">M19/AD19</f>
        <v>2.476590482688044</v>
      </c>
      <c r="AV19" s="17">
        <f t="shared" ref="AV19" si="13">N19/AE19</f>
        <v>0.23963087107134345</v>
      </c>
      <c r="AW19" s="17">
        <f t="shared" ref="AW19" si="14">O19/AF19</f>
        <v>0.21305081378723736</v>
      </c>
      <c r="AX19" s="17">
        <f t="shared" ref="AX19" si="15">P19/AG19</f>
        <v>11.234090909090909</v>
      </c>
      <c r="AY19" s="17">
        <f t="shared" ref="AY19" si="16">Q19/AH19</f>
        <v>2.6931024586243182</v>
      </c>
      <c r="AZ19" s="17">
        <f t="shared" ref="AZ19" si="17">R19/AI19</f>
        <v>12.977627517796291</v>
      </c>
      <c r="BA19" s="17">
        <f t="shared" ref="BA19" si="18">S19/AJ19</f>
        <v>12.694485254595621</v>
      </c>
      <c r="BB19" s="17">
        <f t="shared" ref="BB19" si="19">T19/AK19</f>
        <v>5.2274509803921569</v>
      </c>
      <c r="BC19" s="19">
        <f>U19/AL19</f>
        <v>67.841552990556153</v>
      </c>
    </row>
    <row r="27" spans="2:55" x14ac:dyDescent="0.2">
      <c r="K27" s="2"/>
      <c r="N27" s="2"/>
      <c r="R27" s="2"/>
      <c r="V27" s="2"/>
    </row>
    <row r="28" spans="2:55" x14ac:dyDescent="0.2">
      <c r="I28" s="2"/>
      <c r="K28" s="2"/>
      <c r="L28" s="2"/>
      <c r="N28" s="2"/>
      <c r="P28" s="2"/>
      <c r="R28" s="2"/>
      <c r="T28" s="2"/>
      <c r="V28" s="2"/>
    </row>
    <row r="29" spans="2:55" x14ac:dyDescent="0.2">
      <c r="I29" s="2"/>
      <c r="K29" s="2"/>
      <c r="L29" s="2"/>
      <c r="N29" s="2"/>
      <c r="P29" s="2"/>
      <c r="R29" s="2"/>
      <c r="T29" s="2"/>
      <c r="V29" s="2"/>
    </row>
    <row r="30" spans="2:55" x14ac:dyDescent="0.2">
      <c r="I30" s="2"/>
      <c r="L30" s="2"/>
      <c r="P30" s="2"/>
      <c r="T30" s="2"/>
    </row>
  </sheetData>
  <mergeCells count="3">
    <mergeCell ref="E1:U1"/>
    <mergeCell ref="V1:AL1"/>
    <mergeCell ref="AM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lou.dodin@obs-banyuls.fr</cp:lastModifiedBy>
  <dcterms:created xsi:type="dcterms:W3CDTF">2026-06-24T12:36:59Z</dcterms:created>
  <dcterms:modified xsi:type="dcterms:W3CDTF">2026-06-24T16:20:22Z</dcterms:modified>
</cp:coreProperties>
</file>